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c" sheetId="1" state="visible" r:id="rId3"/>
    <sheet name="LAVATORIO ATUAL" sheetId="2" state="visible" r:id="rId4"/>
    <sheet name="MicLav" sheetId="3" state="visible" r:id="rId5"/>
    <sheet name=" Grelha" sheetId="4" state="visible" r:id="rId6"/>
    <sheet name="Prat" sheetId="5" state="visible" r:id="rId7"/>
    <sheet name="Mesas" sheetId="6" state="visible" r:id="rId8"/>
    <sheet name="Coifa" sheetId="7" state="visible" r:id="rId9"/>
    <sheet name="Chapa-Mat Ø" sheetId="8" state="visible" r:id="rId10"/>
    <sheet name="EstCarroCantoeira" sheetId="9" state="visible" r:id="rId11"/>
    <sheet name="EstCarroTubo" sheetId="10" state="visible" r:id="rId12"/>
    <sheet name="G Corpo" sheetId="11" state="visible" r:id="rId13"/>
    <sheet name="Gab-Arm" sheetId="12" state="visible" r:id="rId14"/>
    <sheet name="Cant" sheetId="13" state="visible" r:id="rId15"/>
    <sheet name="Batente" sheetId="14" state="visible" r:id="rId16"/>
    <sheet name="Planilha1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<sst xmlns="http://schemas.openxmlformats.org/spreadsheetml/2006/main" count="534" uniqueCount="273">
  <si>
    <t xml:space="preserve">TABELA BANCADAS E CUBAS</t>
  </si>
  <si>
    <t xml:space="preserve">Bancada em aço inox AISI 304 Liga 18.8 Bitola 20 Acabamento Polido. Com frontal nas partes tangentes a parede e bordas de contenção de líquido. Pés em tubo Ø1½" e contraventamento em tubo Ø1".</t>
  </si>
  <si>
    <t xml:space="preserve">C</t>
  </si>
  <si>
    <t xml:space="preserve">L </t>
  </si>
  <si>
    <t xml:space="preserve">P</t>
  </si>
  <si>
    <t xml:space="preserve">Espessura do Tampo</t>
  </si>
  <si>
    <t xml:space="preserve">Espessura da Cuba</t>
  </si>
  <si>
    <t xml:space="preserve">Chapa</t>
  </si>
  <si>
    <t xml:space="preserve">Fator Tampo</t>
  </si>
  <si>
    <t xml:space="preserve">Fator Cuba</t>
  </si>
  <si>
    <t xml:space="preserve">Com  cubas</t>
  </si>
  <si>
    <t xml:space="preserve">Mão Francesa </t>
  </si>
  <si>
    <t xml:space="preserve">Valor Tampo</t>
  </si>
  <si>
    <t xml:space="preserve">Com 01 cuba </t>
  </si>
  <si>
    <t xml:space="preserve"> </t>
  </si>
  <si>
    <t xml:space="preserve">Sem Cuba</t>
  </si>
  <si>
    <t xml:space="preserve">Com Cuba</t>
  </si>
  <si>
    <t xml:space="preserve">Com Expurgo</t>
  </si>
  <si>
    <t xml:space="preserve">Frontal </t>
  </si>
  <si>
    <t xml:space="preserve">ATÉ 300MM</t>
  </si>
  <si>
    <t xml:space="preserve">                                                                      </t>
  </si>
  <si>
    <t xml:space="preserve">Com 02 cubas </t>
  </si>
  <si>
    <t xml:space="preserve"> 1 Expurgo</t>
  </si>
  <si>
    <t xml:space="preserve">Com 2 cubas</t>
  </si>
  <si>
    <t xml:space="preserve">300/400MM</t>
  </si>
  <si>
    <t xml:space="preserve">Com 5 Pés</t>
  </si>
  <si>
    <t xml:space="preserve">450/500MM</t>
  </si>
  <si>
    <t xml:space="preserve">4 Pés</t>
  </si>
  <si>
    <t xml:space="preserve"> Tubo Ø1 ½"</t>
  </si>
  <si>
    <t xml:space="preserve">Altura</t>
  </si>
  <si>
    <t xml:space="preserve">6 Pés</t>
  </si>
  <si>
    <t xml:space="preserve">7 Pés</t>
  </si>
  <si>
    <t xml:space="preserve">650/700MM</t>
  </si>
  <si>
    <t xml:space="preserve">Contraventamento</t>
  </si>
  <si>
    <t xml:space="preserve">Medida</t>
  </si>
  <si>
    <t xml:space="preserve">TUBO Ø 1"</t>
  </si>
  <si>
    <t xml:space="preserve">Valor</t>
  </si>
  <si>
    <t xml:space="preserve">Com 6 Pés</t>
  </si>
  <si>
    <t xml:space="preserve">750/800MM</t>
  </si>
  <si>
    <t xml:space="preserve">Sem cuba</t>
  </si>
  <si>
    <t xml:space="preserve">Com cuba</t>
  </si>
  <si>
    <t xml:space="preserve">Com expurgo</t>
  </si>
  <si>
    <t xml:space="preserve">Obs: Atentar para altura do Frontal</t>
  </si>
  <si>
    <t xml:space="preserve">IMPOSTO</t>
  </si>
  <si>
    <t xml:space="preserve">850/900MM</t>
  </si>
  <si>
    <t xml:space="preserve">SIFÃO EXPURGO QUADRADO R$ 1.180,00 </t>
  </si>
  <si>
    <t xml:space="preserve">TANQUE 550X450X220 R$ 1.069,43 FATOR 3,5 ESPESSURA 1,5</t>
  </si>
  <si>
    <t xml:space="preserve">TANQUE 550X450X220 R$ 712,95 FATOR 3,00 ESPESSURA 1</t>
  </si>
  <si>
    <t xml:space="preserve">TABELA LAVATORIO </t>
  </si>
  <si>
    <t xml:space="preserve">CHAPA </t>
  </si>
  <si>
    <t xml:space="preserve">VALOR </t>
  </si>
  <si>
    <t xml:space="preserve">FATOR </t>
  </si>
  <si>
    <t xml:space="preserve">comprimento</t>
  </si>
  <si>
    <t xml:space="preserve">lateral</t>
  </si>
  <si>
    <t xml:space="preserve">MEDIDA</t>
  </si>
  <si>
    <t xml:space="preserve">KILO </t>
  </si>
  <si>
    <t xml:space="preserve">PADRÃO 750</t>
  </si>
  <si>
    <t xml:space="preserve">MEDIDA </t>
  </si>
  <si>
    <t xml:space="preserve">PADRÃO 850</t>
  </si>
  <si>
    <t xml:space="preserve">comprimento </t>
  </si>
  <si>
    <t xml:space="preserve">FDE </t>
  </si>
  <si>
    <t xml:space="preserve">lateral </t>
  </si>
  <si>
    <t xml:space="preserve">LAVATORIO CIRUGICO </t>
  </si>
  <si>
    <t xml:space="preserve">PESO DA CHAPA </t>
  </si>
  <si>
    <t xml:space="preserve">,</t>
  </si>
  <si>
    <t xml:space="preserve">COMPRIMENTO </t>
  </si>
  <si>
    <t xml:space="preserve">LARGURA </t>
  </si>
  <si>
    <t xml:space="preserve">PROFUNDIDADE</t>
  </si>
  <si>
    <t xml:space="preserve">FRONTAO </t>
  </si>
  <si>
    <t xml:space="preserve">SOB MEDIDA</t>
  </si>
  <si>
    <t xml:space="preserve">VALORES ADICIONAL APLICAR FATOR 3 SEMPR ATUALIZAR</t>
  </si>
  <si>
    <t xml:space="preserve">BICA ALTA </t>
  </si>
  <si>
    <t xml:space="preserve">BICA BAIXA </t>
  </si>
  <si>
    <t xml:space="preserve">MANG. CHICOTE 0,60CM</t>
  </si>
  <si>
    <t xml:space="preserve">MANG. CHICOTE 1,20 CM </t>
  </si>
  <si>
    <t xml:space="preserve">PEDAL PÉ </t>
  </si>
  <si>
    <t xml:space="preserve">JOELHO </t>
  </si>
  <si>
    <t xml:space="preserve">VALVULA AMERICANA</t>
  </si>
  <si>
    <t xml:space="preserve">TABELA LAVATORIOS E MICTORIOS</t>
  </si>
  <si>
    <t xml:space="preserve">Descrição</t>
  </si>
  <si>
    <t xml:space="preserve">Comprimento</t>
  </si>
  <si>
    <t xml:space="preserve">Des.</t>
  </si>
  <si>
    <t xml:space="preserve">Espessura</t>
  </si>
  <si>
    <t xml:space="preserve">Espessura Chapa</t>
  </si>
  <si>
    <t xml:space="preserve">Fator</t>
  </si>
  <si>
    <t xml:space="preserve">Preço por Metro Linear</t>
  </si>
  <si>
    <t xml:space="preserve">Corpo KG</t>
  </si>
  <si>
    <t xml:space="preserve">Lateral KG</t>
  </si>
  <si>
    <t xml:space="preserve">Peso Total</t>
  </si>
  <si>
    <t xml:space="preserve">Valor Chapa</t>
  </si>
  <si>
    <t xml:space="preserve">Lavatório Padrão</t>
  </si>
  <si>
    <t xml:space="preserve">Lavatório FDE</t>
  </si>
  <si>
    <t xml:space="preserve">Mictório Padrão</t>
  </si>
  <si>
    <t xml:space="preserve">Mictório FDE</t>
  </si>
  <si>
    <t xml:space="preserve">Lavatório 1200   Chapa 22</t>
  </si>
  <si>
    <t xml:space="preserve">Lavatório Cirurgico BIT 20</t>
  </si>
  <si>
    <t xml:space="preserve">Lavatório 1800   Chapa 20</t>
  </si>
  <si>
    <t xml:space="preserve">Grelha Perfurada</t>
  </si>
  <si>
    <t xml:space="preserve">CAIXILHO</t>
  </si>
  <si>
    <t xml:space="preserve">CESTO PERF</t>
  </si>
  <si>
    <t xml:space="preserve">Largura</t>
  </si>
  <si>
    <t xml:space="preserve">Espessura </t>
  </si>
  <si>
    <t xml:space="preserve">Preço da Chapa</t>
  </si>
  <si>
    <t xml:space="preserve">R$ com requadro</t>
  </si>
  <si>
    <t xml:space="preserve">Grelha em Perfil "U"</t>
  </si>
  <si>
    <t xml:space="preserve">Grelha Perfurada em aço inox AISI 304 Liga 18.8 Bitola 16. Acabamento Escovado.</t>
  </si>
  <si>
    <t xml:space="preserve">Perfil </t>
  </si>
  <si>
    <t xml:space="preserve">Espaçamento</t>
  </si>
  <si>
    <t xml:space="preserve">KG</t>
  </si>
  <si>
    <t xml:space="preserve">Preço por KG</t>
  </si>
  <si>
    <t xml:space="preserve">Requadro em cantoneira.</t>
  </si>
  <si>
    <t xml:space="preserve">Caixilho em aço inox AISI 304 Liga 18.8 Bitola 22. Acabamento Escovado.</t>
  </si>
  <si>
    <t xml:space="preserve">Quant Barras</t>
  </si>
  <si>
    <t xml:space="preserve">1 Reforço</t>
  </si>
  <si>
    <t xml:space="preserve">Valor com requadro</t>
  </si>
  <si>
    <t xml:space="preserve">Cesto Perfurado em aço inox AISI 304 Liga 18.8 Bitola 22. Acabamento Escovado.</t>
  </si>
  <si>
    <t xml:space="preserve">2 Reforço</t>
  </si>
  <si>
    <t xml:space="preserve">3 Reforço</t>
  </si>
  <si>
    <t xml:space="preserve">GRELHA PERFURADA COM CAIXILHO</t>
  </si>
  <si>
    <t xml:space="preserve">GRELHA PERFURADA COM CAIXILHO E CESTO PERFURADO</t>
  </si>
  <si>
    <t xml:space="preserve">Grelha em Barra Chata</t>
  </si>
  <si>
    <t xml:space="preserve">Preço ML</t>
  </si>
  <si>
    <t xml:space="preserve">1x1/8</t>
  </si>
  <si>
    <t xml:space="preserve">Valor com Requadro</t>
  </si>
  <si>
    <t xml:space="preserve">Requadro</t>
  </si>
  <si>
    <t xml:space="preserve">Des. Cant.</t>
  </si>
  <si>
    <t xml:space="preserve">Perfurada</t>
  </si>
  <si>
    <t xml:space="preserve">Perfil "U"</t>
  </si>
  <si>
    <t xml:space="preserve">Barra Chata</t>
  </si>
  <si>
    <t xml:space="preserve">Prateleira</t>
  </si>
  <si>
    <t xml:space="preserve">Mão Francesa</t>
  </si>
  <si>
    <t xml:space="preserve">x</t>
  </si>
  <si>
    <t xml:space="preserve">Borda de 30mm</t>
  </si>
  <si>
    <t xml:space="preserve">Inox</t>
  </si>
  <si>
    <t xml:space="preserve">600X300</t>
  </si>
  <si>
    <t xml:space="preserve">300X300</t>
  </si>
  <si>
    <t xml:space="preserve">X</t>
  </si>
  <si>
    <t xml:space="preserve">Ferro</t>
  </si>
  <si>
    <t xml:space="preserve">Prateleira Gradeada</t>
  </si>
  <si>
    <t xml:space="preserve">Obs: Considerar 2 Mão francesas a cada 1.800mm</t>
  </si>
  <si>
    <t xml:space="preserve">Prateleira em aço inox AISI 304 Liga 18.8 Bitola 20. Acabamento Polido.</t>
  </si>
  <si>
    <t xml:space="preserve">MESA</t>
  </si>
  <si>
    <t xml:space="preserve">PÉS</t>
  </si>
  <si>
    <t xml:space="preserve">COMPRIMENTO</t>
  </si>
  <si>
    <t xml:space="preserve">LARGURA</t>
  </si>
  <si>
    <t xml:space="preserve">ALTURA</t>
  </si>
  <si>
    <t xml:space="preserve">Mesa em aço inox AISI 304 Liga 18.8 Bitola 20. Acabamento Polido. Pés em tubo Ø1½" e contraventamento em tubo Ø1".</t>
  </si>
  <si>
    <t xml:space="preserve">Borda de 40mm</t>
  </si>
  <si>
    <t xml:space="preserve">4 PÉS</t>
  </si>
  <si>
    <t xml:space="preserve">TUBO</t>
  </si>
  <si>
    <t xml:space="preserve">Ø1 ½"</t>
  </si>
  <si>
    <t xml:space="preserve">5 PÉS</t>
  </si>
  <si>
    <t xml:space="preserve">6 PÉS</t>
  </si>
  <si>
    <t xml:space="preserve">Fator </t>
  </si>
  <si>
    <t xml:space="preserve">CONTRAVENTAMENTO</t>
  </si>
  <si>
    <t xml:space="preserve">PRATELEIRA</t>
  </si>
  <si>
    <t xml:space="preserve">PRATELEIRA GRADEADA</t>
  </si>
  <si>
    <t xml:space="preserve">PRATELEIRA PERFURADA</t>
  </si>
  <si>
    <t xml:space="preserve">VALOR</t>
  </si>
  <si>
    <t xml:space="preserve">ESPESSURA</t>
  </si>
  <si>
    <t xml:space="preserve">Ø 1.1/2"</t>
  </si>
  <si>
    <t xml:space="preserve">TOTAL</t>
  </si>
  <si>
    <t xml:space="preserve">Coifa em aço inox </t>
  </si>
  <si>
    <t xml:space="preserve">I N C L U I R   I N S T A L A Ç Ã O</t>
  </si>
  <si>
    <t xml:space="preserve">Comprimento </t>
  </si>
  <si>
    <t xml:space="preserve">Coifa em aço inox AISI 304 Liga 18.8 Acabamento Polido.</t>
  </si>
  <si>
    <t xml:space="preserve">Quatro Aguas</t>
  </si>
  <si>
    <t xml:space="preserve">Peças</t>
  </si>
  <si>
    <t xml:space="preserve">Tres Aguas</t>
  </si>
  <si>
    <t xml:space="preserve">+</t>
  </si>
  <si>
    <t xml:space="preserve">Duto Ø</t>
  </si>
  <si>
    <t xml:space="preserve">Desenv.</t>
  </si>
  <si>
    <t xml:space="preserve">ML</t>
  </si>
  <si>
    <t xml:space="preserve">Curva Ø</t>
  </si>
  <si>
    <t xml:space="preserve">Chapeu Chines</t>
  </si>
  <si>
    <t xml:space="preserve">R$ Chapa</t>
  </si>
  <si>
    <t xml:space="preserve">Cálculo de Material Redondo</t>
  </si>
  <si>
    <t xml:space="preserve">P.I</t>
  </si>
  <si>
    <t xml:space="preserve">Ø</t>
  </si>
  <si>
    <t xml:space="preserve">Fundo</t>
  </si>
  <si>
    <t xml:space="preserve">Acrescentar Valor do Repuxo para materiais redondos</t>
  </si>
  <si>
    <t xml:space="preserve">Exemplo:  Em Aço Inox AISI 304 Liga 18.8 Bitola ___ . Acabamento polido </t>
  </si>
  <si>
    <t xml:space="preserve">Estante / Carro Pés em Cantoneira</t>
  </si>
  <si>
    <t xml:space="preserve">Valor 430</t>
  </si>
  <si>
    <t xml:space="preserve">Estante em aço inox AISI 304 Liga 18.8 Bitola 20. Acabamento Polido. Pés em cantoneira bitola 14.</t>
  </si>
  <si>
    <t xml:space="preserve">Espessura Pés</t>
  </si>
  <si>
    <t xml:space="preserve">Qtde de Planos</t>
  </si>
  <si>
    <t xml:space="preserve">Qtde de Pés</t>
  </si>
  <si>
    <t xml:space="preserve">FATOR</t>
  </si>
  <si>
    <t xml:space="preserve">Lisa</t>
  </si>
  <si>
    <t xml:space="preserve">Gradeada</t>
  </si>
  <si>
    <t xml:space="preserve">ACRESCENTAR R$150,00 DE RODIZIOS Ø3", SENDO 02 COM FREIOS</t>
  </si>
  <si>
    <t xml:space="preserve">Estante / Carro em Tubo</t>
  </si>
  <si>
    <t xml:space="preserve">Estante em aço inox AISI 304 liga 18.8. Acabamento polido. Pés em tubo Ø  1½"</t>
  </si>
  <si>
    <t xml:space="preserve">Quantidade de Planos</t>
  </si>
  <si>
    <t xml:space="preserve">Valor do tubo</t>
  </si>
  <si>
    <t xml:space="preserve">Total Lisa com pés</t>
  </si>
  <si>
    <t xml:space="preserve">Total Gradeada Com Pés</t>
  </si>
  <si>
    <t xml:space="preserve">Guarda - Simples</t>
  </si>
  <si>
    <t xml:space="preserve">Corrimão</t>
  </si>
  <si>
    <t xml:space="preserve">Base de Calculo</t>
  </si>
  <si>
    <t xml:space="preserve">Tubo</t>
  </si>
  <si>
    <t xml:space="preserve">Quantidade</t>
  </si>
  <si>
    <t xml:space="preserve">Valores</t>
  </si>
  <si>
    <t xml:space="preserve">Custo</t>
  </si>
  <si>
    <t xml:space="preserve">Tubo Ø</t>
  </si>
  <si>
    <t xml:space="preserve">CUSTO</t>
  </si>
  <si>
    <t xml:space="preserve">1.1/2"</t>
  </si>
  <si>
    <t xml:space="preserve">=</t>
  </si>
  <si>
    <t xml:space="preserve">Corrimão Lateral</t>
  </si>
  <si>
    <t xml:space="preserve">Curva</t>
  </si>
  <si>
    <t xml:space="preserve">Inst. %</t>
  </si>
  <si>
    <t xml:space="preserve">Pés</t>
  </si>
  <si>
    <t xml:space="preserve">Sapatas</t>
  </si>
  <si>
    <t xml:space="preserve">1,1/2"</t>
  </si>
  <si>
    <t xml:space="preserve">  </t>
  </si>
  <si>
    <t xml:space="preserve">Lances</t>
  </si>
  <si>
    <t xml:space="preserve">Canoplas</t>
  </si>
  <si>
    <t xml:space="preserve">1.1/2</t>
  </si>
  <si>
    <t xml:space="preserve">R$ por ML</t>
  </si>
  <si>
    <t xml:space="preserve">Vergalhão</t>
  </si>
  <si>
    <t xml:space="preserve">Guarda Corpo Lances Verticais</t>
  </si>
  <si>
    <t xml:space="preserve">Medida Tubo</t>
  </si>
  <si>
    <t xml:space="preserve">MM</t>
  </si>
  <si>
    <t xml:space="preserve">Ø ½"</t>
  </si>
  <si>
    <t xml:space="preserve">CANOPLA 0,8 ESTAMPADA  R$ 11,50</t>
  </si>
  <si>
    <t xml:space="preserve">Espaçamento lances verticais</t>
  </si>
  <si>
    <t xml:space="preserve">Ø3/4"</t>
  </si>
  <si>
    <t xml:space="preserve">Ø Tubo em mm</t>
  </si>
  <si>
    <t xml:space="preserve">Ø 1"</t>
  </si>
  <si>
    <t xml:space="preserve">]/</t>
  </si>
  <si>
    <t xml:space="preserve">CHAPA 1/8 100MM  R$ 11,50</t>
  </si>
  <si>
    <t xml:space="preserve">Ø 1½" # 1,2mm</t>
  </si>
  <si>
    <t xml:space="preserve">Ø 2" # 1,2mm</t>
  </si>
  <si>
    <t xml:space="preserve">Curvas</t>
  </si>
  <si>
    <t xml:space="preserve">Ø 1½"</t>
  </si>
  <si>
    <t xml:space="preserve">Ø 2"</t>
  </si>
  <si>
    <t xml:space="preserve">0+0</t>
  </si>
  <si>
    <t xml:space="preserve">Guarda Corpo Com Vidro</t>
  </si>
  <si>
    <t xml:space="preserve">Altura do Vidro</t>
  </si>
  <si>
    <t xml:space="preserve">Vidros Temperado</t>
  </si>
  <si>
    <t xml:space="preserve">Acrescer 30% quando for Escada ou Rampa</t>
  </si>
  <si>
    <t xml:space="preserve">8mm</t>
  </si>
  <si>
    <t xml:space="preserve">10mm</t>
  </si>
  <si>
    <t xml:space="preserve">12mm</t>
  </si>
  <si>
    <t xml:space="preserve">16mm</t>
  </si>
  <si>
    <t xml:space="preserve">20mm</t>
  </si>
  <si>
    <t xml:space="preserve">Vidros Temperado e Laminado</t>
  </si>
  <si>
    <t xml:space="preserve">Vidro</t>
  </si>
  <si>
    <t xml:space="preserve">M²</t>
  </si>
  <si>
    <t xml:space="preserve">Gabinete / Armario</t>
  </si>
  <si>
    <t xml:space="preserve">Armario em aço inox AISI 304 Liga 18.8 Bitola 20 Acabamento Polido. Com 03 portas e 02 prateleiras internas. </t>
  </si>
  <si>
    <t xml:space="preserve">Sem Tampo</t>
  </si>
  <si>
    <t xml:space="preserve">Com Tampo</t>
  </si>
  <si>
    <t xml:space="preserve">Gaveta</t>
  </si>
  <si>
    <t xml:space="preserve">corrediças e puxador</t>
  </si>
  <si>
    <t xml:space="preserve">Total Sem Tampo</t>
  </si>
  <si>
    <t xml:space="preserve">Cantoneira</t>
  </si>
  <si>
    <t xml:space="preserve">NÃO ESQUECER </t>
  </si>
  <si>
    <t xml:space="preserve">Perfil</t>
  </si>
  <si>
    <t xml:space="preserve">DESENVOLVER PERFIL</t>
  </si>
  <si>
    <t xml:space="preserve">Cantoneira em aço inox AISI 304 Liga 18.8 Bitola 16. Acabamento Polido.</t>
  </si>
  <si>
    <t xml:space="preserve">Ex: Lado + Lado</t>
  </si>
  <si>
    <t xml:space="preserve">20+ 20 = 40 ( Perfil )</t>
  </si>
  <si>
    <t xml:space="preserve">Todas as medidas são variaveis</t>
  </si>
  <si>
    <t xml:space="preserve">Batente</t>
  </si>
  <si>
    <t xml:space="preserve">3333,+</t>
  </si>
  <si>
    <t xml:space="preserve">Porta </t>
  </si>
  <si>
    <t xml:space="preserve"> Frente e Verso</t>
  </si>
  <si>
    <t xml:space="preserve">Madeira 100,00 M²</t>
  </si>
  <si>
    <t xml:space="preserve">n ne</t>
  </si>
  <si>
    <t xml:space="preserve">Batente em aço inox AISI 304 Liga 18.8 Bitola 18. Acabamento Escovado</t>
  </si>
  <si>
    <t xml:space="preserve">Revestimento em aço inox AISI 304 Liga 18.8 Bitola 18. Acabamento Escovado. Com preenchimento em MDF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</si>
</sst>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(&quot;R$ &quot;* #,##0.00_);_(&quot;R$ &quot;* \(#,##0.00\);_(&quot;R$ &quot;* \-??_);_(@_)"/>
    <numFmt numFmtId="166" formatCode="_(* #,##0.00_);_(* \(#,##0.00\);_(* \-??_);_(@_)"/>
    <numFmt numFmtId="167" formatCode="0.00"/>
    <numFmt numFmtId="168" formatCode="0.0"/>
    <numFmt numFmtId="169" formatCode="0"/>
    <numFmt numFmtId="170" formatCode="&quot;R$ &quot;#,##0.00;[RED]&quot;-R$ &quot;#,##0.00"/>
    <numFmt numFmtId="171" formatCode="#,##0"/>
    <numFmt numFmtId="172" formatCode="_-* #,##0.00_-;\-* #,##0.00_-;_-* \-??_-;_-@_-"/>
    <numFmt numFmtId="173" formatCode="0%"/>
    <numFmt numFmtId="174" formatCode="_-[$R$-416]\ * #,##0.00_-;\-[$R$-416]\ * #,##0.00_-;_-[$R$-416]\ * \-??_-;_-@_-"/>
    <numFmt numFmtId="175" formatCode="_(&quot;R$ &quot;* #,##0.00_);_(&quot;R$ &quot;* \(#,##0.00\);_(&quot;R$ &quot;* \-???_);_(@_)"/>
    <numFmt numFmtId="176" formatCode="0.000"/>
    <numFmt numFmtId="177" formatCode="&quot;R$ &quot;#,##0.00_);[RED]&quot;(R$ &quot;#,##0.00\)"/>
    <numFmt numFmtId="178" formatCode="#,##0.00"/>
    <numFmt numFmtId="179" formatCode="#,##0;[RED]#,##0"/>
    <numFmt numFmtId="180" formatCode="#,##0.00;[RED]#,##0.00"/>
    <numFmt numFmtId="181" formatCode="_(* #,##0.0_);_(* \(#,##0.0\);_(* \-??_);_(@_)"/>
  </numFmts>
  <fonts count="8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5"/>
      <name val="Palatino Linotype"/>
      <family val="1"/>
    </font>
    <font>
      <b val="true"/>
      <sz val="15"/>
      <name val="Arial"/>
      <family val="2"/>
    </font>
    <font>
      <b val="true"/>
      <sz val="8"/>
      <name val="Palatino Linotype"/>
      <family val="1"/>
    </font>
    <font>
      <b val="true"/>
      <sz val="10"/>
      <name val="Arial"/>
      <family val="2"/>
    </font>
    <font>
      <b val="true"/>
      <sz val="12"/>
      <name val="Palatino Linotype"/>
      <family val="1"/>
    </font>
    <font>
      <b val="true"/>
      <sz val="18"/>
      <name val="Arial"/>
      <family val="2"/>
    </font>
    <font>
      <b val="true"/>
      <sz val="12"/>
      <name val="Arial"/>
      <family val="2"/>
    </font>
    <font>
      <b val="true"/>
      <sz val="8"/>
      <color rgb="FF969696"/>
      <name val="Arial"/>
      <family val="2"/>
    </font>
    <font>
      <b val="true"/>
      <sz val="10"/>
      <name val="Palatino Linotype"/>
      <family val="1"/>
    </font>
    <font>
      <b val="true"/>
      <u val="single"/>
      <sz val="10"/>
      <color rgb="FF969696"/>
      <name val="Arial"/>
      <family val="2"/>
    </font>
    <font>
      <b val="true"/>
      <sz val="10"/>
      <color rgb="FF969696"/>
      <name val="Arial"/>
      <family val="2"/>
    </font>
    <font>
      <b val="true"/>
      <sz val="17"/>
      <name val="Arial"/>
      <family val="2"/>
    </font>
    <font>
      <b val="true"/>
      <sz val="14"/>
      <name val="Palatino Linotype"/>
      <family val="1"/>
    </font>
    <font>
      <b val="true"/>
      <u val="single"/>
      <sz val="10"/>
      <name val="Palatino Linotype"/>
      <family val="1"/>
    </font>
    <font>
      <sz val="16"/>
      <name val="Arial"/>
      <family val="2"/>
    </font>
    <font>
      <sz val="10"/>
      <name val="Palatino Linotype"/>
      <family val="1"/>
    </font>
    <font>
      <b val="true"/>
      <sz val="16"/>
      <name val="Palatino Linotype"/>
      <family val="1"/>
    </font>
    <font>
      <sz val="10"/>
      <color rgb="FFC0C0C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22"/>
      <name val="Arial"/>
      <family val="2"/>
    </font>
    <font>
      <sz val="18"/>
      <name val="Arial"/>
      <family val="2"/>
    </font>
    <font>
      <b val="true"/>
      <sz val="11"/>
      <name val="Palatino Linotype"/>
      <family val="1"/>
    </font>
    <font>
      <sz val="28"/>
      <name val="Arial"/>
      <family val="2"/>
    </font>
    <font>
      <b val="true"/>
      <sz val="22"/>
      <name val="Arial"/>
      <family val="2"/>
    </font>
    <font>
      <b val="true"/>
      <sz val="20"/>
      <name val="Arial"/>
      <family val="2"/>
    </font>
    <font>
      <sz val="10"/>
      <color rgb="FFFF0000"/>
      <name val="Arial"/>
      <family val="2"/>
    </font>
    <font>
      <b val="true"/>
      <sz val="16"/>
      <name val="Arial"/>
      <family val="2"/>
    </font>
    <font>
      <b val="true"/>
      <sz val="14"/>
      <name val="Arial"/>
      <family val="2"/>
    </font>
    <font>
      <sz val="20"/>
      <name val="Arial"/>
      <family val="2"/>
    </font>
    <font>
      <b val="true"/>
      <sz val="10"/>
      <color rgb="FFFF0000"/>
      <name val="Arial"/>
      <family val="2"/>
    </font>
    <font>
      <b val="true"/>
      <sz val="9"/>
      <name val="Arial"/>
      <family val="2"/>
    </font>
    <font>
      <sz val="12"/>
      <color rgb="FF969696"/>
      <name val="Arial"/>
      <family val="2"/>
    </font>
    <font>
      <sz val="12"/>
      <name val="Arial"/>
      <family val="2"/>
    </font>
    <font>
      <sz val="10"/>
      <color rgb="FF969696"/>
      <name val="Arial"/>
      <family val="2"/>
    </font>
    <font>
      <b val="true"/>
      <sz val="12"/>
      <color rgb="FF000000"/>
      <name val="Arial"/>
      <family val="2"/>
    </font>
    <font>
      <b val="true"/>
      <sz val="15"/>
      <color rgb="FF0000FF"/>
      <name val="Arial"/>
      <family val="2"/>
    </font>
    <font>
      <b val="true"/>
      <sz val="12"/>
      <color rgb="FFC0C0C0"/>
      <name val="Arial"/>
      <family val="2"/>
    </font>
    <font>
      <b val="true"/>
      <sz val="12"/>
      <color rgb="FFFFFFFF"/>
      <name val="Arial"/>
      <family val="2"/>
    </font>
    <font>
      <b val="true"/>
      <sz val="18"/>
      <color rgb="FFFFFFFF"/>
      <name val="Arial"/>
      <family val="2"/>
    </font>
    <font>
      <b val="true"/>
      <sz val="15"/>
      <color rgb="FFFFFFFF"/>
      <name val="Arial"/>
      <family val="2"/>
    </font>
    <font>
      <sz val="18"/>
      <name val="Palatino Linotype"/>
      <family val="1"/>
    </font>
    <font>
      <sz val="12"/>
      <color rgb="FFC0C0C0"/>
      <name val="Arial"/>
      <family val="2"/>
    </font>
    <font>
      <b val="true"/>
      <sz val="15"/>
      <color rgb="FF808080"/>
      <name val="Arial"/>
      <family val="2"/>
    </font>
    <font>
      <sz val="13"/>
      <color rgb="FF808080"/>
      <name val="Arial"/>
      <family val="2"/>
    </font>
    <font>
      <sz val="15"/>
      <color rgb="FF808080"/>
      <name val="Arial"/>
      <family val="2"/>
    </font>
    <font>
      <sz val="10"/>
      <color rgb="FF808080"/>
      <name val="Arial"/>
      <family val="2"/>
    </font>
    <font>
      <sz val="15"/>
      <name val="Arial"/>
      <family val="2"/>
    </font>
    <font>
      <sz val="15"/>
      <color rgb="FFFF0000"/>
      <name val="Arial"/>
      <family val="2"/>
    </font>
    <font>
      <sz val="18"/>
      <color rgb="FF969696"/>
      <name val="Arial"/>
      <family val="2"/>
    </font>
    <font>
      <sz val="20"/>
      <color rgb="FF993366"/>
      <name val="Arial"/>
      <family val="2"/>
    </font>
    <font>
      <sz val="20"/>
      <color rgb="FFFF00FF"/>
      <name val="Arial"/>
      <family val="2"/>
    </font>
    <font>
      <sz val="20"/>
      <color rgb="FF339966"/>
      <name val="Arial"/>
      <family val="2"/>
    </font>
    <font>
      <sz val="22"/>
      <name val="Palatino Linotype"/>
      <family val="1"/>
    </font>
    <font>
      <b val="true"/>
      <u val="single"/>
      <sz val="15"/>
      <name val="Arial"/>
      <family val="2"/>
    </font>
    <font>
      <b val="true"/>
      <sz val="15"/>
      <name val="Arial Narrow"/>
      <family val="2"/>
    </font>
    <font>
      <b val="true"/>
      <sz val="23"/>
      <name val="Arial"/>
      <family val="2"/>
    </font>
    <font>
      <b val="true"/>
      <sz val="14"/>
      <color rgb="FFC0C0C0"/>
      <name val="Arial"/>
      <family val="2"/>
    </font>
    <font>
      <sz val="8"/>
      <name val="Arial"/>
      <family val="2"/>
    </font>
    <font>
      <b val="true"/>
      <sz val="10"/>
      <name val="Bookman Old Style"/>
      <family val="1"/>
    </font>
    <font>
      <sz val="10"/>
      <name val="Bookman Old Style"/>
      <family val="1"/>
    </font>
    <font>
      <b val="true"/>
      <sz val="20"/>
      <name val="Bookman Old Style"/>
      <family val="1"/>
    </font>
    <font>
      <b val="true"/>
      <sz val="15"/>
      <name val="Bookman Old Style"/>
      <family val="1"/>
    </font>
    <font>
      <sz val="15"/>
      <name val="Bookman Old Style"/>
      <family val="1"/>
    </font>
    <font>
      <sz val="20"/>
      <name val="Bookman Old Style"/>
      <family val="1"/>
    </font>
    <font>
      <sz val="14"/>
      <name val="Bookman Old Style"/>
      <family val="1"/>
    </font>
    <font>
      <b val="true"/>
      <i val="true"/>
      <sz val="12"/>
      <color rgb="FFFF0000"/>
      <name val="Bookman Old Style"/>
      <family val="1"/>
    </font>
    <font>
      <sz val="15"/>
      <color rgb="FF000000"/>
      <name val="Bookman Old Style"/>
      <family val="1"/>
    </font>
    <font>
      <b val="true"/>
      <sz val="10"/>
      <color rgb="FFC0C0C0"/>
      <name val="Bookman Old Style"/>
      <family val="1"/>
    </font>
    <font>
      <sz val="10"/>
      <color rgb="FFC0C0C0"/>
      <name val="Bookman Old Style"/>
      <family val="1"/>
    </font>
    <font>
      <sz val="15"/>
      <color rgb="FFC0C0C0"/>
      <name val="Arial"/>
      <family val="2"/>
    </font>
    <font>
      <b val="true"/>
      <sz val="13"/>
      <name val="Arial"/>
      <family val="2"/>
    </font>
    <font>
      <sz val="18"/>
      <color rgb="FFC0C0C0"/>
      <name val="Arial"/>
      <family val="2"/>
    </font>
    <font>
      <sz val="7"/>
      <color rgb="FFC0C0C0"/>
      <name val="Arial"/>
      <family val="2"/>
    </font>
    <font>
      <sz val="8"/>
      <color rgb="FFC0C0C0"/>
      <name val="Arial"/>
      <family val="2"/>
    </font>
    <font>
      <sz val="25"/>
      <color rgb="FFFF0000"/>
      <name val="Arial"/>
      <family val="2"/>
    </font>
    <font>
      <sz val="13"/>
      <name val="Arial"/>
      <family val="2"/>
    </font>
    <font>
      <b val="true"/>
      <sz val="11"/>
      <name val="Arial"/>
      <family val="2"/>
    </font>
    <font>
      <b val="true"/>
      <sz val="7"/>
      <name val="Arial"/>
      <family val="2"/>
    </font>
    <font>
      <sz val="13"/>
      <color rgb="FFFF0000"/>
      <name val="Arial"/>
      <family val="2"/>
    </font>
    <font>
      <b val="true"/>
      <sz val="24"/>
      <name val="Arial"/>
      <family val="2"/>
    </font>
    <font>
      <sz val="8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0066CC"/>
        <bgColor rgb="FF008080"/>
      </patternFill>
    </fill>
    <fill>
      <patternFill patternType="solid">
        <fgColor rgb="FF00FF00"/>
        <bgColor rgb="FF33CCCC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8080"/>
        <bgColor rgb="FFFF99CC"/>
      </patternFill>
    </fill>
    <fill>
      <patternFill patternType="solid">
        <fgColor rgb="FFCC99FF"/>
        <bgColor rgb="FF9999FF"/>
      </patternFill>
    </fill>
    <fill>
      <patternFill patternType="solid">
        <fgColor rgb="FF993366"/>
        <bgColor rgb="FF993366"/>
      </patternFill>
    </fill>
    <fill>
      <patternFill patternType="solid">
        <fgColor rgb="FF800080"/>
        <bgColor rgb="FF80008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00FF"/>
        <bgColor rgb="FFFF00FF"/>
      </patternFill>
    </fill>
    <fill>
      <patternFill patternType="solid">
        <fgColor rgb="FF339966"/>
        <bgColor rgb="FF008080"/>
      </patternFill>
    </fill>
    <fill>
      <patternFill patternType="solid">
        <fgColor rgb="FFCCFFCC"/>
        <bgColor rgb="FFCCFFFF"/>
      </patternFill>
    </fill>
    <fill>
      <patternFill patternType="solid">
        <fgColor rgb="FF3366FF"/>
        <bgColor rgb="FF0066CC"/>
      </patternFill>
    </fill>
    <fill>
      <patternFill patternType="solid">
        <fgColor rgb="FFFFCC99"/>
        <bgColor rgb="FFC0C0C0"/>
      </patternFill>
    </fill>
    <fill>
      <patternFill patternType="solid">
        <fgColor rgb="FFC0C0C0"/>
        <bgColor rgb="FFCCCCFF"/>
      </patternFill>
    </fill>
    <fill>
      <patternFill patternType="solid">
        <fgColor rgb="FFFF6600"/>
        <bgColor rgb="FFFF9900"/>
      </patternFill>
    </fill>
    <fill>
      <patternFill patternType="solid">
        <fgColor rgb="FFCCFFFF"/>
        <bgColor rgb="FFCCFFFF"/>
      </patternFill>
    </fill>
  </fills>
  <borders count="1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thin">
        <color rgb="FFFFFFFF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 style="medium"/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thin">
        <color rgb="FFFFFFFF"/>
      </right>
      <top style="thin">
        <color rgb="FFFFFFFF"/>
      </top>
      <bottom style="medium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medium"/>
      <diagonal/>
    </border>
    <border diagonalUp="false" diagonalDown="false">
      <left/>
      <right style="thin">
        <color rgb="FFFFFFFF"/>
      </right>
      <top style="thin">
        <color rgb="FFFFFFFF"/>
      </top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FFFFFF"/>
      </left>
      <right style="medium"/>
      <top style="thin">
        <color rgb="FFFFFFFF"/>
      </top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/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/>
      <right style="thin">
        <color rgb="FFFFFFFF"/>
      </right>
      <top/>
      <bottom style="thin"/>
      <diagonal/>
    </border>
    <border diagonalUp="false" diagonalDown="false">
      <left style="thin">
        <color rgb="FFFFFFFF"/>
      </left>
      <right style="thin">
        <color rgb="FFFFFFFF"/>
      </right>
      <top/>
      <bottom style="thin"/>
      <diagonal/>
    </border>
    <border diagonalUp="false" diagonalDown="false">
      <left style="thin">
        <color rgb="FFFFFFFF"/>
      </left>
      <right style="thin"/>
      <top style="thin">
        <color rgb="FFFFFFFF"/>
      </top>
      <bottom style="thin"/>
      <diagonal/>
    </border>
    <border diagonalUp="false" diagonalDown="false">
      <left style="thin"/>
      <right style="thin"/>
      <top style="thin">
        <color rgb="FFFFFFFF"/>
      </top>
      <bottom style="thin"/>
      <diagonal/>
    </border>
    <border diagonalUp="false" diagonalDown="false">
      <left style="medium"/>
      <right style="medium"/>
      <top style="thin">
        <color rgb="FFFFFFFF"/>
      </top>
      <bottom style="thin"/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>
        <color rgb="FFFFFFFF"/>
      </left>
      <right/>
      <top/>
      <bottom style="thin">
        <color rgb="FFFFFFFF"/>
      </bottom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 style="thin"/>
      <right/>
      <top style="thin"/>
      <bottom style="thin">
        <color rgb="FFFFFFFF"/>
      </bottom>
      <diagonal/>
    </border>
    <border diagonalUp="false" diagonalDown="false">
      <left style="medium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medium"/>
      <top style="thin">
        <color rgb="FFFFFFFF"/>
      </top>
      <bottom style="thin">
        <color rgb="FFFFFFFF"/>
      </bottom>
      <diagonal/>
    </border>
    <border diagonalUp="false" diagonalDown="false">
      <left/>
      <right style="medium"/>
      <top style="thin">
        <color rgb="FFFFFFFF"/>
      </top>
      <bottom style="thin"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medium"/>
      <right style="hair"/>
      <top style="thin">
        <color rgb="FFFFFFFF"/>
      </top>
      <bottom style="thin">
        <color rgb="FFFFFFFF"/>
      </bottom>
      <diagonal/>
    </border>
    <border diagonalUp="false" diagonalDown="false">
      <left style="hair"/>
      <right/>
      <top style="thin">
        <color rgb="FFFFFFFF"/>
      </top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thin">
        <color rgb="FFFFFFFF"/>
      </left>
      <right style="medium"/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medium"/>
      <right style="thin">
        <color rgb="FFFFFFFF"/>
      </right>
      <top style="thin">
        <color rgb="FFFFFFFF"/>
      </top>
      <bottom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thin"/>
      <right style="thin">
        <color rgb="FFFFFFFF"/>
      </right>
      <top style="thin">
        <color rgb="FFFFFFFF"/>
      </top>
      <bottom/>
      <diagonal/>
    </border>
    <border diagonalUp="false" diagonalDown="false">
      <left style="thin"/>
      <right/>
      <top style="thin">
        <color rgb="FFFFFFFF"/>
      </top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>
        <color rgb="FFFFFFFF"/>
      </left>
      <right style="thin"/>
      <top/>
      <bottom style="thin">
        <color rgb="FFFFFFFF"/>
      </bottom>
      <diagonal/>
    </border>
    <border diagonalUp="false" diagonalDown="false">
      <left style="thin">
        <color rgb="FFFFFFFF"/>
      </left>
      <right style="medium"/>
      <top/>
      <bottom style="thin">
        <color rgb="FFFFFFFF"/>
      </bottom>
      <diagonal/>
    </border>
    <border diagonalUp="false" diagonalDown="false">
      <left style="medium"/>
      <right style="thin">
        <color rgb="FFFFFFFF"/>
      </right>
      <top/>
      <bottom style="medium"/>
      <diagonal/>
    </border>
    <border diagonalUp="false" diagonalDown="false">
      <left/>
      <right style="thin">
        <color rgb="FFFFFFFF"/>
      </right>
      <top/>
      <bottom style="medium"/>
      <diagonal/>
    </border>
    <border diagonalUp="false" diagonalDown="false">
      <left style="thin">
        <color rgb="FFFFFFFF"/>
      </left>
      <right style="thin">
        <color rgb="FFFFFFFF"/>
      </right>
      <top/>
      <bottom style="medium"/>
      <diagonal/>
    </border>
    <border diagonalUp="false" diagonalDown="false">
      <left style="medium"/>
      <right/>
      <top style="medium"/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 style="medium"/>
      <diagonal/>
    </border>
    <border diagonalUp="false" diagonalDown="false">
      <left/>
      <right style="medium"/>
      <top style="medium"/>
      <bottom style="thin">
        <color rgb="FFFFFFFF"/>
      </bottom>
      <diagonal/>
    </border>
    <border diagonalUp="false" diagonalDown="false">
      <left style="thin"/>
      <right style="medium"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 style="thin">
        <color rgb="FFFFFFFF"/>
      </left>
      <right style="medium"/>
      <top/>
      <bottom/>
      <diagonal/>
    </border>
    <border diagonalUp="false" diagonalDown="false">
      <left style="medium"/>
      <right style="thin">
        <color rgb="FFFFFFFF"/>
      </right>
      <top/>
      <bottom style="thin">
        <color rgb="FFFFFFFF"/>
      </bottom>
      <diagonal/>
    </border>
    <border diagonalUp="false" diagonalDown="false">
      <left style="medium"/>
      <right/>
      <top style="thin">
        <color rgb="FFFFFFFF"/>
      </top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>
        <color rgb="FFFFFFFF"/>
      </top>
      <bottom/>
      <diagonal/>
    </border>
    <border diagonalUp="false" diagonalDown="false">
      <left style="medium"/>
      <right style="medium"/>
      <top style="medium"/>
      <bottom style="thin">
        <color rgb="FFFF00FF"/>
      </bottom>
      <diagonal/>
    </border>
    <border diagonalUp="false" diagonalDown="false">
      <left style="medium"/>
      <right style="thin">
        <color rgb="FFFFFFFF"/>
      </right>
      <top style="medium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medium"/>
      <bottom/>
      <diagonal/>
    </border>
    <border diagonalUp="false" diagonalDown="false">
      <left style="thin">
        <color rgb="FFFFFFFF"/>
      </left>
      <right style="thin">
        <color rgb="FFFFFFFF"/>
      </right>
      <top style="medium"/>
      <bottom style="thin">
        <color rgb="FFFFFFFF"/>
      </bottom>
      <diagonal/>
    </border>
    <border diagonalUp="false" diagonalDown="false">
      <left style="thin">
        <color rgb="FFFFFFFF"/>
      </left>
      <right style="medium"/>
      <top style="medium"/>
      <bottom style="thin">
        <color rgb="FFFFFFFF"/>
      </bottom>
      <diagonal/>
    </border>
    <border diagonalUp="false" diagonalDown="false">
      <left style="medium"/>
      <right style="medium"/>
      <top style="thin">
        <color rgb="FFFFFFFF"/>
      </top>
      <bottom style="thin">
        <color rgb="FFFFFFFF"/>
      </bottom>
      <diagonal/>
    </border>
    <border diagonalUp="false" diagonalDown="false">
      <left/>
      <right/>
      <top style="thin">
        <color rgb="FFFFFFFF"/>
      </top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5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5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1" fillId="5" borderId="1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6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3" borderId="14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5" fillId="3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8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3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3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6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6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5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5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7" fillId="9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5" fillId="2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1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2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8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13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5" fillId="2" borderId="16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5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9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1" fillId="2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9" fillId="6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2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3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8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7" fontId="13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6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6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8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4" fillId="8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7" fillId="2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5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8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4" fillId="8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8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22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2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0" fillId="2" borderId="3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3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9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0" fillId="2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3" fontId="20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7" fillId="2" borderId="16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21" fillId="2" borderId="16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27" fillId="8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0" fillId="8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7" fillId="8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8" fillId="8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1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0" borderId="16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6" borderId="16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6" borderId="16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6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4" borderId="16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4" borderId="16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7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2" fillId="7" borderId="16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7" borderId="16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7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6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4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34" fillId="4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2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6" fillId="7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7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6" fillId="7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6" fillId="7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7" borderId="3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6" fillId="7" borderId="3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6" fillId="7" borderId="39" xfId="1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3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10" borderId="4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10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10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8" fillId="10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39" fillId="10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0" fillId="10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41" fillId="10" borderId="4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6" borderId="4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6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6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8" fillId="6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39" fillId="6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0" fillId="6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41" fillId="6" borderId="4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4" borderId="4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4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4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8" fillId="4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39" fillId="4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0" fillId="4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41" fillId="4" borderId="4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3" borderId="4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3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3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8" fillId="3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39" fillId="3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0" fillId="3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41" fillId="3" borderId="4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11" borderId="4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11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11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8" fillId="11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39" fillId="11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0" fillId="11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41" fillId="11" borderId="4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9" borderId="4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9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9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8" fillId="9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39" fillId="9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0" fillId="9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41" fillId="9" borderId="4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3" borderId="4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11" fillId="3" borderId="4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6" fillId="3" borderId="4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4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1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9" borderId="43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11" borderId="4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11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1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1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11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11" borderId="1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9" borderId="4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6" fillId="11" borderId="4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11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1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26" fillId="11" borderId="13" xfId="1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6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3" fillId="9" borderId="47" xfId="17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11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1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2" fillId="1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26" fillId="11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3" fillId="13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5" borderId="4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4" fillId="16" borderId="5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2" fillId="0" borderId="1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42" fillId="11" borderId="5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42" fillId="11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42" fillId="11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2" fillId="11" borderId="37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5" fontId="34" fillId="12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5" fillId="13" borderId="5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4" fillId="17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6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14" borderId="4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14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9" fillId="1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17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6" fillId="14" borderId="4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14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33" fillId="17" borderId="47" xfId="1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7" fillId="14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47" fillId="1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30" fillId="17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4" fillId="1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14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47" fillId="14" borderId="0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8" fillId="1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14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5" fillId="17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9" fillId="1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1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5" fillId="17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1" fillId="1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9" borderId="5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9" borderId="5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4" fillId="18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19" borderId="4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19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19" borderId="5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2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6" fillId="19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9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52" fillId="19" borderId="10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19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44" fillId="16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2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7" fillId="19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47" fillId="19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30" fillId="18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4" fillId="19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6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7" fillId="19" borderId="0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53" fillId="19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2" fillId="19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33" fillId="6" borderId="47" xfId="1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2" fillId="19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2" fillId="18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18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6" fillId="18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19" borderId="5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19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19" borderId="5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4" fillId="3" borderId="5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5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3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3" borderId="4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3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54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4" fillId="1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11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26" fillId="11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11" borderId="2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54" fillId="1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4" fillId="1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14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26" fillId="14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1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26" fillId="14" borderId="2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54" fillId="1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4" fillId="1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4" fillId="19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19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26" fillId="19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19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9" borderId="27" xfId="1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4" fillId="3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55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4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6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54" fillId="3" borderId="5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57" fillId="3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5" fillId="3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3" borderId="5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4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5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8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4" fillId="8" borderId="6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4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9" fillId="14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2" fillId="14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2" fillId="14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14" borderId="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14" borderId="1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4" fillId="4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4" fillId="4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4" fillId="4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7" borderId="5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14" borderId="5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1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9" fillId="4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8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17" borderId="3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17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17" borderId="39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9" fillId="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0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20" borderId="39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4" fillId="14" borderId="5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17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2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1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14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3" fontId="0" fillId="14" borderId="0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2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59" fillId="21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9" fillId="19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9" fillId="11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9" fillId="3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1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19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11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3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21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19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11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2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2" fillId="21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2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2" fillId="19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2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2" fillId="11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2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2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2" fillId="21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2" fillId="19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2" fillId="11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2" fillId="1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2" fillId="2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19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1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21" borderId="5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1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19" borderId="5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11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11" borderId="5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3" borderId="5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7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7" borderId="52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6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6" borderId="52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12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12" borderId="52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8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8" fillId="8" borderId="52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0" fillId="7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0" fillId="6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0" fillId="1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0" fillId="8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0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0" fillId="7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0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0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0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0" fillId="1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0" fillId="1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0" fillId="8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0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3" fillId="2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164" fontId="30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3" borderId="0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19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7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8" fillId="2" borderId="1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2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2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2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9" fillId="8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7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7" fillId="14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7" fillId="3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8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8" fillId="3" borderId="3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3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9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8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6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8" borderId="69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8" borderId="7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22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2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2" fillId="8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53" fillId="8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6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1" fillId="22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3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23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7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22" fillId="0" borderId="7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7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14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6" fillId="9" borderId="7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6" fillId="9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2" borderId="6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9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4" borderId="7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3" fillId="0" borderId="7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3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3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7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8" borderId="3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4" fillId="8" borderId="3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8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3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3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0" borderId="6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6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6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2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8" borderId="3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80" fillId="8" borderId="6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6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3" xfId="21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8" borderId="2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23" borderId="3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5" fillId="0" borderId="3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3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23" borderId="3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8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4" borderId="8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4" borderId="8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6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8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7" fillId="2" borderId="3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9" fillId="0" borderId="6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8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8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8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1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1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4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2" fillId="0" borderId="7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8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9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6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2" fillId="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6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6" borderId="6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6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8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8" borderId="9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71" fontId="84" fillId="8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8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8" borderId="10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8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8" borderId="10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8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7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9" fillId="2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9" fillId="2" borderId="8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8" borderId="2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0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3" fillId="0" borderId="7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2" fillId="0" borderId="3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2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2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7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1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1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17" borderId="10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3" fillId="0" borderId="7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3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7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17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8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24" fillId="8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4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32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7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0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2" fillId="0" borderId="1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1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76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22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22" fillId="0" borderId="3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62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8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3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77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39" fillId="0" borderId="7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39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2" fillId="0" borderId="3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2" fillId="0" borderId="6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8" borderId="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8" borderId="3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65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2" fillId="0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7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2" fillId="0" borderId="32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52" fillId="0" borderId="65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22" fillId="0" borderId="8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26" fillId="4" borderId="8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0" borderId="6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8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95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5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2" fillId="0" borderId="64" xfId="0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9" fillId="2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1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3" fillId="0" borderId="3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0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33" fillId="17" borderId="10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3" fillId="17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1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2" fillId="0" borderId="11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1" fontId="22" fillId="0" borderId="6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9" fontId="22" fillId="0" borderId="6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8" borderId="2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22" fillId="0" borderId="2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8" borderId="20" xfId="1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8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2" xfId="0" applyFont="false" applyBorder="true" applyAlignment="true" applyProtection="true">
      <alignment horizontal="left" vertical="center" textRotation="90" wrapText="false" indent="0" shrinkToFit="false"/>
      <protection locked="false" hidden="false"/>
    </xf>
    <xf numFmtId="164" fontId="52" fillId="0" borderId="92" xfId="0" applyFont="true" applyBorder="true" applyAlignment="true" applyProtection="true">
      <alignment horizontal="left" vertical="center" textRotation="180" wrapText="false" indent="0" shrinkToFit="false"/>
      <protection locked="false" hidden="false"/>
    </xf>
    <xf numFmtId="164" fontId="0" fillId="0" borderId="97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9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9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6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5" fillId="14" borderId="7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32" xfId="0" applyFont="false" applyBorder="true" applyAlignment="true" applyProtection="true">
      <alignment horizontal="center" vertical="center" textRotation="180" wrapText="false" indent="0" shrinkToFit="false"/>
      <protection locked="false" hidden="false"/>
    </xf>
    <xf numFmtId="164" fontId="0" fillId="0" borderId="32" xfId="0" applyFont="false" applyBorder="true" applyAlignment="true" applyProtection="true">
      <alignment horizontal="left" vertical="bottom" textRotation="90" wrapText="false" indent="0" shrinkToFit="false"/>
      <protection locked="false" hidden="false"/>
    </xf>
    <xf numFmtId="164" fontId="35" fillId="19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97" xfId="1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5" fillId="9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32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3" fillId="2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3" fillId="0" borderId="35" xfId="0" applyFont="true" applyBorder="true" applyAlignment="true" applyProtection="true">
      <alignment horizontal="center" vertical="bottom" textRotation="0" wrapText="tru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30240</xdr:colOff>
      <xdr:row>5</xdr:row>
      <xdr:rowOff>105120</xdr:rowOff>
    </xdr:from>
    <xdr:to>
      <xdr:col>13</xdr:col>
      <xdr:colOff>111240</xdr:colOff>
      <xdr:row>5</xdr:row>
      <xdr:rowOff>105120</xdr:rowOff>
    </xdr:to>
    <xdr:sp>
      <xdr:nvSpPr>
        <xdr:cNvPr id="1" name="Line 1"/>
        <xdr:cNvSpPr/>
      </xdr:nvSpPr>
      <xdr:spPr>
        <a:xfrm>
          <a:off x="5671440" y="1352880"/>
          <a:ext cx="735120" cy="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0</xdr:colOff>
      <xdr:row>3</xdr:row>
      <xdr:rowOff>133560</xdr:rowOff>
    </xdr:from>
    <xdr:to>
      <xdr:col>13</xdr:col>
      <xdr:colOff>131760</xdr:colOff>
      <xdr:row>3</xdr:row>
      <xdr:rowOff>133560</xdr:rowOff>
    </xdr:to>
    <xdr:sp>
      <xdr:nvSpPr>
        <xdr:cNvPr id="2" name="Line 2"/>
        <xdr:cNvSpPr/>
      </xdr:nvSpPr>
      <xdr:spPr>
        <a:xfrm>
          <a:off x="5641200" y="1057320"/>
          <a:ext cx="785880" cy="0"/>
        </a:xfrm>
        <a:prstGeom prst="line">
          <a:avLst/>
        </a:prstGeom>
        <a:ln w="936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131040</xdr:colOff>
      <xdr:row>2</xdr:row>
      <xdr:rowOff>153000</xdr:rowOff>
    </xdr:from>
    <xdr:to>
      <xdr:col>13</xdr:col>
      <xdr:colOff>131760</xdr:colOff>
      <xdr:row>4</xdr:row>
      <xdr:rowOff>142920</xdr:rowOff>
    </xdr:to>
    <xdr:sp>
      <xdr:nvSpPr>
        <xdr:cNvPr id="3" name="Line 3"/>
        <xdr:cNvSpPr/>
      </xdr:nvSpPr>
      <xdr:spPr>
        <a:xfrm>
          <a:off x="6426360" y="848160"/>
          <a:ext cx="720" cy="38052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0</xdr:colOff>
      <xdr:row>2</xdr:row>
      <xdr:rowOff>209880</xdr:rowOff>
    </xdr:from>
    <xdr:to>
      <xdr:col>12</xdr:col>
      <xdr:colOff>720</xdr:colOff>
      <xdr:row>5</xdr:row>
      <xdr:rowOff>37800</xdr:rowOff>
    </xdr:to>
    <xdr:sp>
      <xdr:nvSpPr>
        <xdr:cNvPr id="4" name="Line 4"/>
        <xdr:cNvSpPr/>
      </xdr:nvSpPr>
      <xdr:spPr>
        <a:xfrm>
          <a:off x="5641200" y="905040"/>
          <a:ext cx="720" cy="38052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210960</xdr:colOff>
      <xdr:row>5</xdr:row>
      <xdr:rowOff>105120</xdr:rowOff>
    </xdr:from>
    <xdr:to>
      <xdr:col>10</xdr:col>
      <xdr:colOff>211320</xdr:colOff>
      <xdr:row>10</xdr:row>
      <xdr:rowOff>95400</xdr:rowOff>
    </xdr:to>
    <xdr:sp>
      <xdr:nvSpPr>
        <xdr:cNvPr id="5" name="Line 5"/>
        <xdr:cNvSpPr/>
      </xdr:nvSpPr>
      <xdr:spPr>
        <a:xfrm>
          <a:off x="5410800" y="1352880"/>
          <a:ext cx="360" cy="942840"/>
        </a:xfrm>
        <a:prstGeom prst="line">
          <a:avLst/>
        </a:prstGeom>
        <a:ln w="936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120600</xdr:colOff>
      <xdr:row>5</xdr:row>
      <xdr:rowOff>95400</xdr:rowOff>
    </xdr:from>
    <xdr:to>
      <xdr:col>11</xdr:col>
      <xdr:colOff>80640</xdr:colOff>
      <xdr:row>5</xdr:row>
      <xdr:rowOff>95400</xdr:rowOff>
    </xdr:to>
    <xdr:sp>
      <xdr:nvSpPr>
        <xdr:cNvPr id="6" name="Line 6"/>
        <xdr:cNvSpPr/>
      </xdr:nvSpPr>
      <xdr:spPr>
        <a:xfrm>
          <a:off x="5320440" y="1343160"/>
          <a:ext cx="2210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150840</xdr:colOff>
      <xdr:row>10</xdr:row>
      <xdr:rowOff>105120</xdr:rowOff>
    </xdr:from>
    <xdr:to>
      <xdr:col>11</xdr:col>
      <xdr:colOff>80640</xdr:colOff>
      <xdr:row>10</xdr:row>
      <xdr:rowOff>114480</xdr:rowOff>
    </xdr:to>
    <xdr:sp>
      <xdr:nvSpPr>
        <xdr:cNvPr id="7" name="Line 7"/>
        <xdr:cNvSpPr/>
      </xdr:nvSpPr>
      <xdr:spPr>
        <a:xfrm>
          <a:off x="5350680" y="2305440"/>
          <a:ext cx="190800" cy="93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40320</xdr:colOff>
      <xdr:row>5</xdr:row>
      <xdr:rowOff>75960</xdr:rowOff>
    </xdr:from>
    <xdr:to>
      <xdr:col>12</xdr:col>
      <xdr:colOff>41040</xdr:colOff>
      <xdr:row>10</xdr:row>
      <xdr:rowOff>133560</xdr:rowOff>
    </xdr:to>
    <xdr:sp>
      <xdr:nvSpPr>
        <xdr:cNvPr id="8" name="Line 8"/>
        <xdr:cNvSpPr/>
      </xdr:nvSpPr>
      <xdr:spPr>
        <a:xfrm>
          <a:off x="5681520" y="1323720"/>
          <a:ext cx="720" cy="1010160"/>
        </a:xfrm>
        <a:prstGeom prst="line">
          <a:avLst/>
        </a:prstGeom>
        <a:ln w="5724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</xdr:col>
      <xdr:colOff>20160</xdr:colOff>
      <xdr:row>0</xdr:row>
      <xdr:rowOff>57600</xdr:rowOff>
    </xdr:from>
    <xdr:to>
      <xdr:col>9</xdr:col>
      <xdr:colOff>110520</xdr:colOff>
      <xdr:row>1</xdr:row>
      <xdr:rowOff>142920</xdr:rowOff>
    </xdr:to>
    <xdr:sp>
      <xdr:nvSpPr>
        <xdr:cNvPr id="9" name="AutoShape 9"/>
        <xdr:cNvSpPr/>
      </xdr:nvSpPr>
      <xdr:spPr>
        <a:xfrm>
          <a:off x="3510000" y="57600"/>
          <a:ext cx="1499040" cy="428400"/>
        </a:xfrm>
        <a:prstGeom prst="rightArrow">
          <a:avLst>
            <a:gd name="adj1" fmla="val 50000"/>
            <a:gd name="adj2" fmla="val 87479"/>
          </a:avLst>
        </a:prstGeom>
        <a:solidFill>
          <a:srgbClr val="00ff00"/>
        </a:solidFill>
        <a:ln w="28440">
          <a:solidFill>
            <a:srgbClr val="ff00ff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6</xdr:row>
      <xdr:rowOff>-360</xdr:rowOff>
    </xdr:from>
    <xdr:to>
      <xdr:col>9</xdr:col>
      <xdr:colOff>360</xdr:colOff>
      <xdr:row>7</xdr:row>
      <xdr:rowOff>123120</xdr:rowOff>
    </xdr:to>
    <xdr:sp>
      <xdr:nvSpPr>
        <xdr:cNvPr id="10" name="Line 1"/>
        <xdr:cNvSpPr/>
      </xdr:nvSpPr>
      <xdr:spPr>
        <a:xfrm flipV="1">
          <a:off x="6337440" y="1286640"/>
          <a:ext cx="360" cy="44316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12</xdr:row>
      <xdr:rowOff>9360</xdr:rowOff>
    </xdr:from>
    <xdr:to>
      <xdr:col>9</xdr:col>
      <xdr:colOff>360</xdr:colOff>
      <xdr:row>15</xdr:row>
      <xdr:rowOff>38160</xdr:rowOff>
    </xdr:to>
    <xdr:sp>
      <xdr:nvSpPr>
        <xdr:cNvPr id="11" name="Line 4"/>
        <xdr:cNvSpPr/>
      </xdr:nvSpPr>
      <xdr:spPr>
        <a:xfrm>
          <a:off x="6337440" y="2739960"/>
          <a:ext cx="360" cy="64800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12</xdr:row>
      <xdr:rowOff>151920</xdr:rowOff>
    </xdr:from>
    <xdr:to>
      <xdr:col>9</xdr:col>
      <xdr:colOff>360</xdr:colOff>
      <xdr:row>15</xdr:row>
      <xdr:rowOff>47160</xdr:rowOff>
    </xdr:to>
    <xdr:sp>
      <xdr:nvSpPr>
        <xdr:cNvPr id="12" name="Line 6"/>
        <xdr:cNvSpPr/>
      </xdr:nvSpPr>
      <xdr:spPr>
        <a:xfrm flipV="1">
          <a:off x="6337440" y="2882520"/>
          <a:ext cx="360" cy="51444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2</xdr:row>
      <xdr:rowOff>152640</xdr:rowOff>
    </xdr:from>
    <xdr:to>
      <xdr:col>9</xdr:col>
      <xdr:colOff>360</xdr:colOff>
      <xdr:row>4</xdr:row>
      <xdr:rowOff>142920</xdr:rowOff>
    </xdr:to>
    <xdr:sp>
      <xdr:nvSpPr>
        <xdr:cNvPr id="13" name="Line 8"/>
        <xdr:cNvSpPr/>
      </xdr:nvSpPr>
      <xdr:spPr>
        <a:xfrm>
          <a:off x="6337440" y="727200"/>
          <a:ext cx="360" cy="44568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2</xdr:row>
      <xdr:rowOff>143640</xdr:rowOff>
    </xdr:from>
    <xdr:to>
      <xdr:col>9</xdr:col>
      <xdr:colOff>360</xdr:colOff>
      <xdr:row>4</xdr:row>
      <xdr:rowOff>123480</xdr:rowOff>
    </xdr:to>
    <xdr:sp>
      <xdr:nvSpPr>
        <xdr:cNvPr id="14" name="Line 9"/>
        <xdr:cNvSpPr/>
      </xdr:nvSpPr>
      <xdr:spPr>
        <a:xfrm>
          <a:off x="6337440" y="718200"/>
          <a:ext cx="360" cy="4352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16</xdr:row>
      <xdr:rowOff>75960</xdr:rowOff>
    </xdr:from>
    <xdr:to>
      <xdr:col>9</xdr:col>
      <xdr:colOff>360</xdr:colOff>
      <xdr:row>18</xdr:row>
      <xdr:rowOff>19080</xdr:rowOff>
    </xdr:to>
    <xdr:sp>
      <xdr:nvSpPr>
        <xdr:cNvPr id="15" name="Line 20"/>
        <xdr:cNvSpPr/>
      </xdr:nvSpPr>
      <xdr:spPr>
        <a:xfrm>
          <a:off x="6337440" y="3597120"/>
          <a:ext cx="360" cy="2667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16</xdr:row>
      <xdr:rowOff>104760</xdr:rowOff>
    </xdr:from>
    <xdr:to>
      <xdr:col>9</xdr:col>
      <xdr:colOff>360</xdr:colOff>
      <xdr:row>18</xdr:row>
      <xdr:rowOff>19080</xdr:rowOff>
    </xdr:to>
    <xdr:sp>
      <xdr:nvSpPr>
        <xdr:cNvPr id="16" name="Line 21"/>
        <xdr:cNvSpPr/>
      </xdr:nvSpPr>
      <xdr:spPr>
        <a:xfrm>
          <a:off x="6337440" y="3625920"/>
          <a:ext cx="360" cy="2379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16</xdr:row>
      <xdr:rowOff>114480</xdr:rowOff>
    </xdr:from>
    <xdr:to>
      <xdr:col>9</xdr:col>
      <xdr:colOff>360</xdr:colOff>
      <xdr:row>18</xdr:row>
      <xdr:rowOff>56880</xdr:rowOff>
    </xdr:to>
    <xdr:sp>
      <xdr:nvSpPr>
        <xdr:cNvPr id="17" name="Line 22"/>
        <xdr:cNvSpPr/>
      </xdr:nvSpPr>
      <xdr:spPr>
        <a:xfrm>
          <a:off x="6337440" y="3635640"/>
          <a:ext cx="360" cy="2660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9</xdr:col>
      <xdr:colOff>0</xdr:colOff>
      <xdr:row>14</xdr:row>
      <xdr:rowOff>66960</xdr:rowOff>
    </xdr:from>
    <xdr:to>
      <xdr:col>9</xdr:col>
      <xdr:colOff>360</xdr:colOff>
      <xdr:row>14</xdr:row>
      <xdr:rowOff>133920</xdr:rowOff>
    </xdr:to>
    <xdr:sp>
      <xdr:nvSpPr>
        <xdr:cNvPr id="18" name="Line 24"/>
        <xdr:cNvSpPr/>
      </xdr:nvSpPr>
      <xdr:spPr>
        <a:xfrm>
          <a:off x="6337440" y="3121200"/>
          <a:ext cx="360" cy="669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382680</xdr:colOff>
      <xdr:row>6</xdr:row>
      <xdr:rowOff>-360</xdr:rowOff>
    </xdr:from>
    <xdr:to>
      <xdr:col>10</xdr:col>
      <xdr:colOff>383400</xdr:colOff>
      <xdr:row>7</xdr:row>
      <xdr:rowOff>123120</xdr:rowOff>
    </xdr:to>
    <xdr:sp>
      <xdr:nvSpPr>
        <xdr:cNvPr id="19" name="Line 25"/>
        <xdr:cNvSpPr/>
      </xdr:nvSpPr>
      <xdr:spPr>
        <a:xfrm flipV="1">
          <a:off x="7373880" y="1286640"/>
          <a:ext cx="720" cy="44316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382680</xdr:colOff>
      <xdr:row>6</xdr:row>
      <xdr:rowOff>0</xdr:rowOff>
    </xdr:from>
    <xdr:to>
      <xdr:col>12</xdr:col>
      <xdr:colOff>91440</xdr:colOff>
      <xdr:row>6</xdr:row>
      <xdr:rowOff>0</xdr:rowOff>
    </xdr:to>
    <xdr:sp>
      <xdr:nvSpPr>
        <xdr:cNvPr id="20" name="Line 26"/>
        <xdr:cNvSpPr/>
      </xdr:nvSpPr>
      <xdr:spPr>
        <a:xfrm>
          <a:off x="7373880" y="1287000"/>
          <a:ext cx="1017000" cy="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100800</xdr:colOff>
      <xdr:row>6</xdr:row>
      <xdr:rowOff>0</xdr:rowOff>
    </xdr:from>
    <xdr:to>
      <xdr:col>12</xdr:col>
      <xdr:colOff>101520</xdr:colOff>
      <xdr:row>12</xdr:row>
      <xdr:rowOff>9360</xdr:rowOff>
    </xdr:to>
    <xdr:sp>
      <xdr:nvSpPr>
        <xdr:cNvPr id="21" name="Line 27"/>
        <xdr:cNvSpPr/>
      </xdr:nvSpPr>
      <xdr:spPr>
        <a:xfrm>
          <a:off x="8400240" y="1287000"/>
          <a:ext cx="720" cy="145296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402480</xdr:colOff>
      <xdr:row>12</xdr:row>
      <xdr:rowOff>9360</xdr:rowOff>
    </xdr:from>
    <xdr:to>
      <xdr:col>12</xdr:col>
      <xdr:colOff>91440</xdr:colOff>
      <xdr:row>12</xdr:row>
      <xdr:rowOff>9360</xdr:rowOff>
    </xdr:to>
    <xdr:sp>
      <xdr:nvSpPr>
        <xdr:cNvPr id="22" name="Line 28"/>
        <xdr:cNvSpPr/>
      </xdr:nvSpPr>
      <xdr:spPr>
        <a:xfrm>
          <a:off x="8047800" y="2739960"/>
          <a:ext cx="343080" cy="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423000</xdr:colOff>
      <xdr:row>12</xdr:row>
      <xdr:rowOff>9360</xdr:rowOff>
    </xdr:from>
    <xdr:to>
      <xdr:col>11</xdr:col>
      <xdr:colOff>423720</xdr:colOff>
      <xdr:row>15</xdr:row>
      <xdr:rowOff>38160</xdr:rowOff>
    </xdr:to>
    <xdr:sp>
      <xdr:nvSpPr>
        <xdr:cNvPr id="23" name="Line 29"/>
        <xdr:cNvSpPr/>
      </xdr:nvSpPr>
      <xdr:spPr>
        <a:xfrm>
          <a:off x="8068320" y="2739960"/>
          <a:ext cx="720" cy="64800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382680</xdr:colOff>
      <xdr:row>15</xdr:row>
      <xdr:rowOff>47520</xdr:rowOff>
    </xdr:from>
    <xdr:to>
      <xdr:col>11</xdr:col>
      <xdr:colOff>413280</xdr:colOff>
      <xdr:row>15</xdr:row>
      <xdr:rowOff>47520</xdr:rowOff>
    </xdr:to>
    <xdr:sp>
      <xdr:nvSpPr>
        <xdr:cNvPr id="24" name="Line 30"/>
        <xdr:cNvSpPr/>
      </xdr:nvSpPr>
      <xdr:spPr>
        <a:xfrm flipH="1">
          <a:off x="7373880" y="3397320"/>
          <a:ext cx="684720" cy="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382680</xdr:colOff>
      <xdr:row>12</xdr:row>
      <xdr:rowOff>151920</xdr:rowOff>
    </xdr:from>
    <xdr:to>
      <xdr:col>10</xdr:col>
      <xdr:colOff>383400</xdr:colOff>
      <xdr:row>15</xdr:row>
      <xdr:rowOff>47160</xdr:rowOff>
    </xdr:to>
    <xdr:sp>
      <xdr:nvSpPr>
        <xdr:cNvPr id="25" name="Line 31"/>
        <xdr:cNvSpPr/>
      </xdr:nvSpPr>
      <xdr:spPr>
        <a:xfrm flipV="1">
          <a:off x="7373880" y="2882520"/>
          <a:ext cx="720" cy="514440"/>
        </a:xfrm>
        <a:prstGeom prst="line">
          <a:avLst/>
        </a:prstGeom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372600</xdr:colOff>
      <xdr:row>3</xdr:row>
      <xdr:rowOff>133920</xdr:rowOff>
    </xdr:from>
    <xdr:to>
      <xdr:col>12</xdr:col>
      <xdr:colOff>131760</xdr:colOff>
      <xdr:row>3</xdr:row>
      <xdr:rowOff>133920</xdr:rowOff>
    </xdr:to>
    <xdr:sp>
      <xdr:nvSpPr>
        <xdr:cNvPr id="26" name="Line 32"/>
        <xdr:cNvSpPr/>
      </xdr:nvSpPr>
      <xdr:spPr>
        <a:xfrm>
          <a:off x="7363800" y="963720"/>
          <a:ext cx="1067400" cy="0"/>
        </a:xfrm>
        <a:prstGeom prst="line">
          <a:avLst/>
        </a:prstGeom>
        <a:ln w="936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131040</xdr:colOff>
      <xdr:row>2</xdr:row>
      <xdr:rowOff>152640</xdr:rowOff>
    </xdr:from>
    <xdr:to>
      <xdr:col>12</xdr:col>
      <xdr:colOff>131760</xdr:colOff>
      <xdr:row>4</xdr:row>
      <xdr:rowOff>142920</xdr:rowOff>
    </xdr:to>
    <xdr:sp>
      <xdr:nvSpPr>
        <xdr:cNvPr id="27" name="Line 33"/>
        <xdr:cNvSpPr/>
      </xdr:nvSpPr>
      <xdr:spPr>
        <a:xfrm>
          <a:off x="8430480" y="727200"/>
          <a:ext cx="720" cy="44568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342360</xdr:colOff>
      <xdr:row>2</xdr:row>
      <xdr:rowOff>143640</xdr:rowOff>
    </xdr:from>
    <xdr:to>
      <xdr:col>10</xdr:col>
      <xdr:colOff>343080</xdr:colOff>
      <xdr:row>4</xdr:row>
      <xdr:rowOff>123480</xdr:rowOff>
    </xdr:to>
    <xdr:sp>
      <xdr:nvSpPr>
        <xdr:cNvPr id="28" name="Line 34"/>
        <xdr:cNvSpPr/>
      </xdr:nvSpPr>
      <xdr:spPr>
        <a:xfrm>
          <a:off x="7333560" y="718200"/>
          <a:ext cx="720" cy="4352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553320</xdr:colOff>
      <xdr:row>6</xdr:row>
      <xdr:rowOff>0</xdr:rowOff>
    </xdr:from>
    <xdr:to>
      <xdr:col>12</xdr:col>
      <xdr:colOff>553680</xdr:colOff>
      <xdr:row>15</xdr:row>
      <xdr:rowOff>56880</xdr:rowOff>
    </xdr:to>
    <xdr:sp>
      <xdr:nvSpPr>
        <xdr:cNvPr id="29" name="Line 35"/>
        <xdr:cNvSpPr/>
      </xdr:nvSpPr>
      <xdr:spPr>
        <a:xfrm>
          <a:off x="8852760" y="1287000"/>
          <a:ext cx="360" cy="2119680"/>
        </a:xfrm>
        <a:prstGeom prst="line">
          <a:avLst/>
        </a:prstGeom>
        <a:ln w="936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271440</xdr:colOff>
      <xdr:row>12</xdr:row>
      <xdr:rowOff>37800</xdr:rowOff>
    </xdr:from>
    <xdr:to>
      <xdr:col>12</xdr:col>
      <xdr:colOff>272160</xdr:colOff>
      <xdr:row>15</xdr:row>
      <xdr:rowOff>56880</xdr:rowOff>
    </xdr:to>
    <xdr:sp>
      <xdr:nvSpPr>
        <xdr:cNvPr id="30" name="Line 36"/>
        <xdr:cNvSpPr/>
      </xdr:nvSpPr>
      <xdr:spPr>
        <a:xfrm>
          <a:off x="8570880" y="2768400"/>
          <a:ext cx="720" cy="638280"/>
        </a:xfrm>
        <a:prstGeom prst="line">
          <a:avLst/>
        </a:prstGeom>
        <a:ln w="936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231480</xdr:colOff>
      <xdr:row>6</xdr:row>
      <xdr:rowOff>0</xdr:rowOff>
    </xdr:from>
    <xdr:to>
      <xdr:col>10</xdr:col>
      <xdr:colOff>231840</xdr:colOff>
      <xdr:row>7</xdr:row>
      <xdr:rowOff>56880</xdr:rowOff>
    </xdr:to>
    <xdr:sp>
      <xdr:nvSpPr>
        <xdr:cNvPr id="31" name="Line 37"/>
        <xdr:cNvSpPr/>
      </xdr:nvSpPr>
      <xdr:spPr>
        <a:xfrm>
          <a:off x="7222680" y="1287000"/>
          <a:ext cx="360" cy="376560"/>
        </a:xfrm>
        <a:prstGeom prst="line">
          <a:avLst/>
        </a:prstGeom>
        <a:ln w="936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131040</xdr:colOff>
      <xdr:row>6</xdr:row>
      <xdr:rowOff>0</xdr:rowOff>
    </xdr:from>
    <xdr:to>
      <xdr:col>10</xdr:col>
      <xdr:colOff>333000</xdr:colOff>
      <xdr:row>6</xdr:row>
      <xdr:rowOff>0</xdr:rowOff>
    </xdr:to>
    <xdr:sp>
      <xdr:nvSpPr>
        <xdr:cNvPr id="32" name="Line 38"/>
        <xdr:cNvSpPr/>
      </xdr:nvSpPr>
      <xdr:spPr>
        <a:xfrm>
          <a:off x="7122240" y="1287000"/>
          <a:ext cx="2019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131040</xdr:colOff>
      <xdr:row>7</xdr:row>
      <xdr:rowOff>56880</xdr:rowOff>
    </xdr:from>
    <xdr:to>
      <xdr:col>10</xdr:col>
      <xdr:colOff>313200</xdr:colOff>
      <xdr:row>7</xdr:row>
      <xdr:rowOff>56880</xdr:rowOff>
    </xdr:to>
    <xdr:sp>
      <xdr:nvSpPr>
        <xdr:cNvPr id="33" name="Line 39"/>
        <xdr:cNvSpPr/>
      </xdr:nvSpPr>
      <xdr:spPr>
        <a:xfrm>
          <a:off x="7122240" y="1663560"/>
          <a:ext cx="1821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161280</xdr:colOff>
      <xdr:row>13</xdr:row>
      <xdr:rowOff>9360</xdr:rowOff>
    </xdr:from>
    <xdr:to>
      <xdr:col>10</xdr:col>
      <xdr:colOff>161640</xdr:colOff>
      <xdr:row>15</xdr:row>
      <xdr:rowOff>66960</xdr:rowOff>
    </xdr:to>
    <xdr:sp>
      <xdr:nvSpPr>
        <xdr:cNvPr id="34" name="Line 40"/>
        <xdr:cNvSpPr/>
      </xdr:nvSpPr>
      <xdr:spPr>
        <a:xfrm>
          <a:off x="7152480" y="2901960"/>
          <a:ext cx="360" cy="514800"/>
        </a:xfrm>
        <a:prstGeom prst="line">
          <a:avLst/>
        </a:prstGeom>
        <a:ln w="936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39960</xdr:colOff>
      <xdr:row>13</xdr:row>
      <xdr:rowOff>0</xdr:rowOff>
    </xdr:from>
    <xdr:to>
      <xdr:col>10</xdr:col>
      <xdr:colOff>292320</xdr:colOff>
      <xdr:row>13</xdr:row>
      <xdr:rowOff>0</xdr:rowOff>
    </xdr:to>
    <xdr:sp>
      <xdr:nvSpPr>
        <xdr:cNvPr id="35" name="Line 41"/>
        <xdr:cNvSpPr/>
      </xdr:nvSpPr>
      <xdr:spPr>
        <a:xfrm flipH="1">
          <a:off x="7031160" y="2892600"/>
          <a:ext cx="2523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50760</xdr:colOff>
      <xdr:row>15</xdr:row>
      <xdr:rowOff>56880</xdr:rowOff>
    </xdr:from>
    <xdr:to>
      <xdr:col>10</xdr:col>
      <xdr:colOff>292680</xdr:colOff>
      <xdr:row>15</xdr:row>
      <xdr:rowOff>56880</xdr:rowOff>
    </xdr:to>
    <xdr:sp>
      <xdr:nvSpPr>
        <xdr:cNvPr id="36" name="Line 42"/>
        <xdr:cNvSpPr/>
      </xdr:nvSpPr>
      <xdr:spPr>
        <a:xfrm flipH="1">
          <a:off x="7041960" y="3406680"/>
          <a:ext cx="24192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160920</xdr:colOff>
      <xdr:row>12</xdr:row>
      <xdr:rowOff>37800</xdr:rowOff>
    </xdr:from>
    <xdr:to>
      <xdr:col>12</xdr:col>
      <xdr:colOff>372960</xdr:colOff>
      <xdr:row>12</xdr:row>
      <xdr:rowOff>37800</xdr:rowOff>
    </xdr:to>
    <xdr:sp>
      <xdr:nvSpPr>
        <xdr:cNvPr id="37" name="Line 43"/>
        <xdr:cNvSpPr/>
      </xdr:nvSpPr>
      <xdr:spPr>
        <a:xfrm>
          <a:off x="8460360" y="2768400"/>
          <a:ext cx="21204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181440</xdr:colOff>
      <xdr:row>15</xdr:row>
      <xdr:rowOff>85680</xdr:rowOff>
    </xdr:from>
    <xdr:to>
      <xdr:col>12</xdr:col>
      <xdr:colOff>363600</xdr:colOff>
      <xdr:row>15</xdr:row>
      <xdr:rowOff>85680</xdr:rowOff>
    </xdr:to>
    <xdr:sp>
      <xdr:nvSpPr>
        <xdr:cNvPr id="38" name="Line 44"/>
        <xdr:cNvSpPr/>
      </xdr:nvSpPr>
      <xdr:spPr>
        <a:xfrm>
          <a:off x="8480880" y="3435480"/>
          <a:ext cx="1821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402480</xdr:colOff>
      <xdr:row>6</xdr:row>
      <xdr:rowOff>0</xdr:rowOff>
    </xdr:from>
    <xdr:to>
      <xdr:col>13</xdr:col>
      <xdr:colOff>51120</xdr:colOff>
      <xdr:row>6</xdr:row>
      <xdr:rowOff>0</xdr:rowOff>
    </xdr:to>
    <xdr:sp>
      <xdr:nvSpPr>
        <xdr:cNvPr id="39" name="Line 45"/>
        <xdr:cNvSpPr/>
      </xdr:nvSpPr>
      <xdr:spPr>
        <a:xfrm>
          <a:off x="8701920" y="1287000"/>
          <a:ext cx="3027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442800</xdr:colOff>
      <xdr:row>15</xdr:row>
      <xdr:rowOff>85680</xdr:rowOff>
    </xdr:from>
    <xdr:to>
      <xdr:col>13</xdr:col>
      <xdr:colOff>91440</xdr:colOff>
      <xdr:row>15</xdr:row>
      <xdr:rowOff>85680</xdr:rowOff>
    </xdr:to>
    <xdr:sp>
      <xdr:nvSpPr>
        <xdr:cNvPr id="40" name="Line 46"/>
        <xdr:cNvSpPr/>
      </xdr:nvSpPr>
      <xdr:spPr>
        <a:xfrm>
          <a:off x="8742240" y="3435480"/>
          <a:ext cx="30276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382680</xdr:colOff>
      <xdr:row>17</xdr:row>
      <xdr:rowOff>47160</xdr:rowOff>
    </xdr:from>
    <xdr:to>
      <xdr:col>11</xdr:col>
      <xdr:colOff>252360</xdr:colOff>
      <xdr:row>17</xdr:row>
      <xdr:rowOff>47160</xdr:rowOff>
    </xdr:to>
    <xdr:sp>
      <xdr:nvSpPr>
        <xdr:cNvPr id="41" name="Line 47"/>
        <xdr:cNvSpPr/>
      </xdr:nvSpPr>
      <xdr:spPr>
        <a:xfrm>
          <a:off x="7373880" y="3730320"/>
          <a:ext cx="523800" cy="0"/>
        </a:xfrm>
        <a:prstGeom prst="line">
          <a:avLst/>
        </a:prstGeom>
        <a:ln w="936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281880</xdr:colOff>
      <xdr:row>17</xdr:row>
      <xdr:rowOff>47160</xdr:rowOff>
    </xdr:from>
    <xdr:to>
      <xdr:col>12</xdr:col>
      <xdr:colOff>141840</xdr:colOff>
      <xdr:row>17</xdr:row>
      <xdr:rowOff>47160</xdr:rowOff>
    </xdr:to>
    <xdr:sp>
      <xdr:nvSpPr>
        <xdr:cNvPr id="42" name="Line 48"/>
        <xdr:cNvSpPr/>
      </xdr:nvSpPr>
      <xdr:spPr>
        <a:xfrm>
          <a:off x="7927200" y="3730320"/>
          <a:ext cx="514080" cy="0"/>
        </a:xfrm>
        <a:prstGeom prst="line">
          <a:avLst/>
        </a:prstGeom>
        <a:ln w="9360">
          <a:solidFill>
            <a:srgbClr val="000000"/>
          </a:solidFill>
          <a:miter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271440</xdr:colOff>
      <xdr:row>16</xdr:row>
      <xdr:rowOff>75960</xdr:rowOff>
    </xdr:from>
    <xdr:to>
      <xdr:col>11</xdr:col>
      <xdr:colOff>272160</xdr:colOff>
      <xdr:row>18</xdr:row>
      <xdr:rowOff>19080</xdr:rowOff>
    </xdr:to>
    <xdr:sp>
      <xdr:nvSpPr>
        <xdr:cNvPr id="43" name="Line 49"/>
        <xdr:cNvSpPr/>
      </xdr:nvSpPr>
      <xdr:spPr>
        <a:xfrm>
          <a:off x="7916760" y="3597120"/>
          <a:ext cx="720" cy="2667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160920</xdr:colOff>
      <xdr:row>16</xdr:row>
      <xdr:rowOff>104760</xdr:rowOff>
    </xdr:from>
    <xdr:to>
      <xdr:col>12</xdr:col>
      <xdr:colOff>161640</xdr:colOff>
      <xdr:row>18</xdr:row>
      <xdr:rowOff>19080</xdr:rowOff>
    </xdr:to>
    <xdr:sp>
      <xdr:nvSpPr>
        <xdr:cNvPr id="44" name="Line 50"/>
        <xdr:cNvSpPr/>
      </xdr:nvSpPr>
      <xdr:spPr>
        <a:xfrm>
          <a:off x="8460360" y="3625920"/>
          <a:ext cx="720" cy="2379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10</xdr:col>
      <xdr:colOff>382680</xdr:colOff>
      <xdr:row>16</xdr:row>
      <xdr:rowOff>114480</xdr:rowOff>
    </xdr:from>
    <xdr:to>
      <xdr:col>10</xdr:col>
      <xdr:colOff>383400</xdr:colOff>
      <xdr:row>18</xdr:row>
      <xdr:rowOff>56880</xdr:rowOff>
    </xdr:to>
    <xdr:sp>
      <xdr:nvSpPr>
        <xdr:cNvPr id="45" name="Line 51"/>
        <xdr:cNvSpPr/>
      </xdr:nvSpPr>
      <xdr:spPr>
        <a:xfrm>
          <a:off x="7373880" y="3635640"/>
          <a:ext cx="720" cy="26604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493200</xdr:colOff>
      <xdr:row>12</xdr:row>
      <xdr:rowOff>75960</xdr:rowOff>
    </xdr:from>
    <xdr:to>
      <xdr:col>12</xdr:col>
      <xdr:colOff>241920</xdr:colOff>
      <xdr:row>14</xdr:row>
      <xdr:rowOff>152280</xdr:rowOff>
    </xdr:to>
    <xdr:sp>
      <xdr:nvSpPr>
        <xdr:cNvPr id="46" name="Text Box 52"/>
        <xdr:cNvSpPr/>
      </xdr:nvSpPr>
      <xdr:spPr>
        <a:xfrm>
          <a:off x="8138520" y="2806560"/>
          <a:ext cx="402840" cy="399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7360" rIns="0" tIns="22680" bIns="0" anchor="t">
          <a:noAutofit/>
        </a:bodyPr>
        <a:p>
          <a:r>
            <a:rPr lang="pt-BR" sz="800" b="0" u="none" strike="noStrike">
              <a:solidFill>
                <a:srgbClr val="000000"/>
              </a:solidFill>
              <a:effectLst/>
              <a:uFillTx/>
              <a:latin typeface="Arial"/>
            </a:rPr>
            <a:t>não </a:t>
          </a:r>
          <a:endParaRPr lang="pt-BR" sz="800" b="0" u="none" strike="noStrike">
            <a:effectLst/>
            <a:uFillTx/>
            <a:latin typeface="Times New Roman"/>
          </a:endParaRPr>
        </a:p>
        <a:p>
          <a:r>
            <a:rPr lang="pt-BR" sz="800" b="0" u="none" strike="noStrike">
              <a:solidFill>
                <a:srgbClr val="000000"/>
              </a:solidFill>
              <a:effectLst/>
              <a:uFillTx/>
              <a:latin typeface="Arial"/>
            </a:rPr>
            <a:t>somar</a:t>
          </a:r>
          <a:endParaRPr lang="pt-BR" sz="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11</xdr:col>
      <xdr:colOff>563400</xdr:colOff>
      <xdr:row>14</xdr:row>
      <xdr:rowOff>66960</xdr:rowOff>
    </xdr:from>
    <xdr:to>
      <xdr:col>11</xdr:col>
      <xdr:colOff>564120</xdr:colOff>
      <xdr:row>14</xdr:row>
      <xdr:rowOff>133920</xdr:rowOff>
    </xdr:to>
    <xdr:sp>
      <xdr:nvSpPr>
        <xdr:cNvPr id="47" name="Line 53"/>
        <xdr:cNvSpPr/>
      </xdr:nvSpPr>
      <xdr:spPr>
        <a:xfrm>
          <a:off x="8208720" y="3121200"/>
          <a:ext cx="720" cy="6696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563400</xdr:colOff>
      <xdr:row>14</xdr:row>
      <xdr:rowOff>47520</xdr:rowOff>
    </xdr:from>
    <xdr:to>
      <xdr:col>12</xdr:col>
      <xdr:colOff>231840</xdr:colOff>
      <xdr:row>14</xdr:row>
      <xdr:rowOff>105120</xdr:rowOff>
    </xdr:to>
    <xdr:sp>
      <xdr:nvSpPr>
        <xdr:cNvPr id="48" name="Line 54"/>
        <xdr:cNvSpPr/>
      </xdr:nvSpPr>
      <xdr:spPr>
        <a:xfrm flipV="1">
          <a:off x="8208720" y="3101760"/>
          <a:ext cx="322560" cy="57600"/>
        </a:xfrm>
        <a:prstGeom prst="line">
          <a:avLst/>
        </a:prstGeom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261360</xdr:colOff>
      <xdr:row>0</xdr:row>
      <xdr:rowOff>0</xdr:rowOff>
    </xdr:from>
    <xdr:to>
      <xdr:col>8</xdr:col>
      <xdr:colOff>675000</xdr:colOff>
      <xdr:row>1</xdr:row>
      <xdr:rowOff>171720</xdr:rowOff>
    </xdr:to>
    <xdr:sp>
      <xdr:nvSpPr>
        <xdr:cNvPr id="49" name="AutoShape 55"/>
        <xdr:cNvSpPr/>
      </xdr:nvSpPr>
      <xdr:spPr>
        <a:xfrm>
          <a:off x="4506480" y="0"/>
          <a:ext cx="1680840" cy="491040"/>
        </a:xfrm>
        <a:prstGeom prst="rightArrow">
          <a:avLst>
            <a:gd name="adj1" fmla="val 50000"/>
            <a:gd name="adj2" fmla="val 85576"/>
          </a:avLst>
        </a:prstGeom>
        <a:solidFill>
          <a:srgbClr val="00ff00"/>
        </a:solidFill>
        <a:ln w="28440">
          <a:solidFill>
            <a:srgbClr val="ff00ff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IW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41796875" defaultRowHeight="21.75" customHeight="false" zeroHeight="false" outlineLevelRow="0" outlineLevelCol="0"/>
  <cols>
    <col collapsed="false" customWidth="true" hidden="false" outlineLevel="0" max="3" min="1" style="1" width="11.99"/>
    <col collapsed="false" customWidth="true" hidden="false" outlineLevel="0" max="4" min="4" style="1" width="14.41"/>
    <col collapsed="false" customWidth="true" hidden="false" outlineLevel="0" max="5" min="5" style="1" width="16.28"/>
    <col collapsed="false" customWidth="true" hidden="false" outlineLevel="0" max="6" min="6" style="1" width="17.56"/>
    <col collapsed="false" customWidth="true" hidden="false" outlineLevel="0" max="7" min="7" style="1" width="11.99"/>
    <col collapsed="false" customWidth="true" hidden="false" outlineLevel="0" max="8" min="8" style="1" width="13.7"/>
    <col collapsed="false" customWidth="true" hidden="false" outlineLevel="0" max="9" min="9" style="2" width="19.28"/>
    <col collapsed="false" customWidth="true" hidden="false" outlineLevel="0" max="10" min="10" style="2" width="10.41"/>
    <col collapsed="false" customWidth="false" hidden="false" outlineLevel="0" max="11" min="11" style="2" width="3.42"/>
    <col collapsed="false" customWidth="true" hidden="false" outlineLevel="0" max="12" min="12" style="2" width="1.99"/>
    <col collapsed="false" customWidth="true" hidden="false" outlineLevel="0" max="14" min="13" style="2" width="14.7"/>
    <col collapsed="false" customWidth="true" hidden="false" outlineLevel="0" max="15" min="15" style="2" width="14.85"/>
    <col collapsed="false" customWidth="false" hidden="false" outlineLevel="0" max="19" min="16" style="2" width="3.42"/>
    <col collapsed="false" customWidth="false" hidden="false" outlineLevel="0" max="29" min="20" style="1" width="3.42"/>
    <col collapsed="false" customWidth="true" hidden="false" outlineLevel="0" max="30" min="30" style="1" width="11.85"/>
    <col collapsed="false" customWidth="false" hidden="false" outlineLevel="0" max="33" min="31" style="1" width="3.42"/>
    <col collapsed="false" customWidth="true" hidden="false" outlineLevel="0" max="34" min="34" style="1" width="0.85"/>
    <col collapsed="false" customWidth="false" hidden="false" outlineLevel="0" max="257" min="35" style="1" width="3.42"/>
  </cols>
  <sheetData>
    <row r="1" customFormat="false" ht="17.2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M1" s="4" t="s">
        <v>1</v>
      </c>
      <c r="N1" s="4"/>
      <c r="O1" s="4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customFormat="false" ht="26.25" hidden="false" customHeight="true" outlineLevel="0" collapsed="false">
      <c r="A2" s="5" t="s">
        <v>2</v>
      </c>
      <c r="B2" s="6" t="s">
        <v>3</v>
      </c>
      <c r="C2" s="6" t="s">
        <v>4</v>
      </c>
      <c r="D2" s="7" t="s">
        <v>5</v>
      </c>
      <c r="E2" s="8" t="s">
        <v>6</v>
      </c>
      <c r="F2" s="9" t="s">
        <v>7</v>
      </c>
      <c r="G2" s="10" t="s">
        <v>8</v>
      </c>
      <c r="H2" s="11" t="s">
        <v>9</v>
      </c>
      <c r="I2" s="12"/>
      <c r="J2" s="12"/>
      <c r="K2" s="12"/>
      <c r="L2" s="13"/>
      <c r="M2" s="4"/>
      <c r="N2" s="4"/>
      <c r="O2" s="4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19.5" hidden="false" customHeight="true" outlineLevel="0" collapsed="false">
      <c r="A3" s="5"/>
      <c r="B3" s="6"/>
      <c r="C3" s="6"/>
      <c r="D3" s="14" t="n">
        <v>1.5</v>
      </c>
      <c r="E3" s="15" t="n">
        <v>1.5</v>
      </c>
      <c r="F3" s="16" t="n">
        <v>37</v>
      </c>
      <c r="G3" s="10"/>
      <c r="H3" s="11"/>
      <c r="I3" s="12"/>
      <c r="J3" s="12"/>
      <c r="K3" s="12"/>
      <c r="L3" s="13"/>
      <c r="M3" s="4"/>
      <c r="N3" s="4"/>
      <c r="O3" s="4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9" hidden="false" customHeight="true" outlineLevel="0" collapsed="false">
      <c r="A4" s="17"/>
      <c r="B4" s="18"/>
      <c r="C4" s="18"/>
      <c r="D4" s="19"/>
      <c r="E4" s="20"/>
      <c r="F4" s="21"/>
      <c r="G4" s="22"/>
      <c r="H4" s="23"/>
      <c r="I4" s="12"/>
      <c r="J4" s="12"/>
      <c r="K4" s="12"/>
      <c r="L4" s="13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34.5" hidden="false" customHeight="true" outlineLevel="0" collapsed="false">
      <c r="A5" s="24" t="n">
        <v>500</v>
      </c>
      <c r="B5" s="25" t="n">
        <v>400</v>
      </c>
      <c r="C5" s="25" t="n">
        <v>200</v>
      </c>
      <c r="D5" s="26" t="n">
        <f aca="false">((C5*2+A5)*B5+(C5*2*A5)+40000)</f>
        <v>600000</v>
      </c>
      <c r="E5" s="27" t="n">
        <f aca="false">D5*E3*8/1000000</f>
        <v>7.2</v>
      </c>
      <c r="F5" s="28" t="n">
        <f aca="false">E5*F3*H5</f>
        <v>932.4</v>
      </c>
      <c r="G5" s="29" t="n">
        <v>3.5</v>
      </c>
      <c r="H5" s="30" t="n">
        <v>3.5</v>
      </c>
      <c r="I5" s="31"/>
      <c r="J5" s="31"/>
      <c r="K5" s="31"/>
      <c r="L5" s="13"/>
      <c r="M5" s="32" t="s">
        <v>10</v>
      </c>
      <c r="N5" s="32"/>
      <c r="O5" s="32"/>
      <c r="P5" s="31"/>
      <c r="Q5" s="31"/>
      <c r="R5" s="31"/>
      <c r="S5" s="31"/>
      <c r="T5" s="33"/>
      <c r="U5" s="33"/>
      <c r="V5" s="34" t="s">
        <v>11</v>
      </c>
      <c r="W5" s="34"/>
      <c r="X5" s="34"/>
      <c r="Y5" s="34"/>
      <c r="Z5" s="34"/>
      <c r="AA5" s="34"/>
      <c r="AB5" s="34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33"/>
      <c r="IQ5" s="33"/>
      <c r="IR5" s="33"/>
      <c r="IS5" s="33"/>
      <c r="IT5" s="33"/>
      <c r="IU5" s="33"/>
      <c r="IV5" s="33"/>
      <c r="IW5" s="33"/>
    </row>
    <row r="6" customFormat="false" ht="13.5" hidden="false" customHeight="true" outlineLevel="0" collapsed="false">
      <c r="A6" s="35"/>
      <c r="B6" s="36" t="n">
        <f aca="false">A7+80+D7</f>
        <v>2380</v>
      </c>
      <c r="C6" s="37" t="n">
        <f aca="false">SUM(B7+50+D7)</f>
        <v>750</v>
      </c>
      <c r="D6" s="37" t="n">
        <f aca="false">B6*C6*D3*8/1000000</f>
        <v>21.42</v>
      </c>
      <c r="E6" s="38" t="s">
        <v>12</v>
      </c>
      <c r="F6" s="39" t="s">
        <v>13</v>
      </c>
      <c r="G6" s="40" t="s">
        <v>14</v>
      </c>
      <c r="H6" s="41" t="n">
        <v>1180</v>
      </c>
      <c r="I6" s="42"/>
      <c r="J6" s="42"/>
      <c r="K6" s="42"/>
      <c r="L6" s="42"/>
      <c r="M6" s="43" t="s">
        <v>15</v>
      </c>
      <c r="N6" s="43" t="s">
        <v>16</v>
      </c>
      <c r="O6" s="44" t="s">
        <v>17</v>
      </c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</row>
    <row r="7" customFormat="false" ht="34.5" hidden="false" customHeight="true" outlineLevel="0" collapsed="false">
      <c r="A7" s="45" t="n">
        <v>2200</v>
      </c>
      <c r="B7" s="25" t="n">
        <v>600</v>
      </c>
      <c r="C7" s="46" t="s">
        <v>18</v>
      </c>
      <c r="D7" s="47" t="n">
        <v>100</v>
      </c>
      <c r="E7" s="48" t="n">
        <f aca="false">D6*F3*G5</f>
        <v>2773.89</v>
      </c>
      <c r="F7" s="49" t="n">
        <f aca="false">SUM(E7+F5)+AD11</f>
        <v>3826.29</v>
      </c>
      <c r="G7" s="50" t="n">
        <f aca="false">F7+H6</f>
        <v>5006.29</v>
      </c>
      <c r="H7" s="50"/>
      <c r="I7" s="51"/>
      <c r="J7" s="52"/>
      <c r="K7" s="52"/>
      <c r="L7" s="12"/>
      <c r="M7" s="53" t="n">
        <f aca="false">E7+D12+C17</f>
        <v>3401.19</v>
      </c>
      <c r="N7" s="54" t="n">
        <f aca="false">F7+D12+C17</f>
        <v>4453.59</v>
      </c>
      <c r="O7" s="55" t="n">
        <f aca="false">G7+D12+C17</f>
        <v>5633.59</v>
      </c>
      <c r="P7" s="12"/>
      <c r="Q7" s="12"/>
      <c r="R7" s="12"/>
      <c r="S7" s="12"/>
      <c r="T7" s="56"/>
      <c r="U7" s="56"/>
      <c r="V7" s="57" t="s">
        <v>19</v>
      </c>
      <c r="W7" s="57"/>
      <c r="X7" s="57"/>
      <c r="Y7" s="57"/>
      <c r="Z7" s="57"/>
      <c r="AA7" s="57"/>
      <c r="AB7" s="56"/>
      <c r="AC7" s="56"/>
      <c r="AD7" s="58" t="n">
        <v>80</v>
      </c>
      <c r="AE7" s="59"/>
      <c r="AF7" s="59"/>
      <c r="AG7" s="59"/>
      <c r="AH7" s="60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</row>
    <row r="8" customFormat="false" ht="15.75" hidden="false" customHeight="true" outlineLevel="0" collapsed="false">
      <c r="A8" s="61" t="s">
        <v>20</v>
      </c>
      <c r="B8" s="36" t="n">
        <f aca="false">A9+80+D9</f>
        <v>2380</v>
      </c>
      <c r="C8" s="37" t="n">
        <f aca="false">B9+50+D9</f>
        <v>750</v>
      </c>
      <c r="D8" s="37" t="n">
        <f aca="false">B8*C8*D3*8/1000000</f>
        <v>21.42</v>
      </c>
      <c r="E8" s="39"/>
      <c r="F8" s="39" t="s">
        <v>21</v>
      </c>
      <c r="G8" s="40" t="s">
        <v>22</v>
      </c>
      <c r="H8" s="41" t="n">
        <f aca="false">H6</f>
        <v>1180</v>
      </c>
      <c r="I8" s="62"/>
      <c r="J8" s="63"/>
      <c r="K8" s="63"/>
      <c r="L8" s="42"/>
      <c r="M8" s="64" t="s">
        <v>23</v>
      </c>
      <c r="N8" s="64"/>
      <c r="O8" s="64"/>
      <c r="P8" s="42"/>
      <c r="Q8" s="42"/>
      <c r="R8" s="42"/>
      <c r="S8" s="42"/>
      <c r="T8" s="42"/>
      <c r="U8" s="42"/>
      <c r="V8" s="65"/>
      <c r="W8" s="65"/>
      <c r="X8" s="65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</row>
    <row r="9" customFormat="false" ht="34.5" hidden="false" customHeight="true" outlineLevel="0" collapsed="false">
      <c r="A9" s="66" t="n">
        <f aca="false">A7</f>
        <v>2200</v>
      </c>
      <c r="B9" s="67" t="n">
        <f aca="false">B7</f>
        <v>600</v>
      </c>
      <c r="C9" s="68" t="s">
        <v>18</v>
      </c>
      <c r="D9" s="69" t="n">
        <f aca="false">D7</f>
        <v>100</v>
      </c>
      <c r="E9" s="48" t="n">
        <f aca="false">D8*F3*G5</f>
        <v>2773.89</v>
      </c>
      <c r="F9" s="49" t="n">
        <f aca="false">F5*2+E9</f>
        <v>4638.69</v>
      </c>
      <c r="G9" s="70" t="n">
        <f aca="false">F9+H8</f>
        <v>5818.69</v>
      </c>
      <c r="H9" s="70"/>
      <c r="I9" s="51"/>
      <c r="J9" s="52"/>
      <c r="K9" s="52"/>
      <c r="M9" s="53" t="n">
        <f aca="false">E9+D12+C17</f>
        <v>3401.19</v>
      </c>
      <c r="N9" s="54" t="n">
        <f aca="false">F9+D12+C17</f>
        <v>5265.99</v>
      </c>
      <c r="O9" s="55" t="n">
        <f aca="false">G9+D12+C17</f>
        <v>6445.99</v>
      </c>
      <c r="V9" s="71" t="s">
        <v>24</v>
      </c>
      <c r="W9" s="71"/>
      <c r="X9" s="71"/>
      <c r="Y9" s="71"/>
      <c r="Z9" s="71"/>
      <c r="AA9" s="71"/>
      <c r="AD9" s="72" t="n">
        <v>90</v>
      </c>
      <c r="AE9" s="72"/>
      <c r="AF9" s="72"/>
      <c r="AG9" s="72"/>
      <c r="AH9" s="72"/>
    </row>
    <row r="10" customFormat="false" ht="5.25" hidden="false" customHeight="true" outlineLevel="0" collapsed="false">
      <c r="A10" s="73"/>
      <c r="B10" s="74"/>
      <c r="C10" s="74"/>
      <c r="D10" s="74"/>
      <c r="E10" s="74"/>
      <c r="F10" s="74"/>
      <c r="G10" s="74"/>
      <c r="H10" s="75"/>
      <c r="M10" s="76"/>
      <c r="N10" s="76"/>
      <c r="O10" s="77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</row>
    <row r="11" customFormat="false" ht="21.75" hidden="false" customHeight="true" outlineLevel="0" collapsed="false">
      <c r="A11" s="78"/>
      <c r="B11" s="78"/>
      <c r="C11" s="78"/>
      <c r="D11" s="78"/>
      <c r="E11" s="78"/>
      <c r="F11" s="78"/>
      <c r="G11" s="78"/>
      <c r="H11" s="78"/>
      <c r="I11" s="79"/>
      <c r="J11" s="79"/>
      <c r="K11" s="79"/>
      <c r="L11" s="79"/>
      <c r="M11" s="80" t="s">
        <v>25</v>
      </c>
      <c r="N11" s="80"/>
      <c r="O11" s="80"/>
      <c r="P11" s="79"/>
      <c r="Q11" s="79"/>
      <c r="R11" s="79"/>
      <c r="S11" s="79"/>
      <c r="T11" s="79"/>
      <c r="U11" s="79"/>
      <c r="V11" s="81" t="s">
        <v>26</v>
      </c>
      <c r="W11" s="81"/>
      <c r="X11" s="81"/>
      <c r="Y11" s="81"/>
      <c r="Z11" s="81"/>
      <c r="AA11" s="81"/>
      <c r="AB11" s="79"/>
      <c r="AC11" s="79"/>
      <c r="AD11" s="82" t="n">
        <v>120</v>
      </c>
      <c r="AE11" s="82"/>
      <c r="AF11" s="82"/>
      <c r="AG11" s="82"/>
      <c r="AH11" s="82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79"/>
      <c r="DP11" s="79"/>
      <c r="DQ11" s="79"/>
      <c r="DR11" s="79"/>
      <c r="DS11" s="79"/>
      <c r="DT11" s="79"/>
      <c r="DU11" s="79"/>
      <c r="DV11" s="79"/>
      <c r="DW11" s="79"/>
      <c r="DX11" s="79"/>
      <c r="DY11" s="79"/>
      <c r="DZ11" s="79"/>
      <c r="EA11" s="79"/>
      <c r="EB11" s="79"/>
      <c r="EC11" s="79"/>
      <c r="ED11" s="79"/>
      <c r="EE11" s="79"/>
      <c r="EF11" s="79"/>
      <c r="EG11" s="79"/>
      <c r="EH11" s="79"/>
      <c r="EI11" s="79"/>
      <c r="EJ11" s="79"/>
      <c r="EK11" s="79"/>
      <c r="EL11" s="79"/>
      <c r="EM11" s="79"/>
      <c r="EN11" s="79"/>
      <c r="EO11" s="79"/>
      <c r="EP11" s="79"/>
      <c r="EQ11" s="79"/>
      <c r="ER11" s="79"/>
      <c r="ES11" s="79"/>
      <c r="ET11" s="79"/>
      <c r="EU11" s="79"/>
      <c r="EV11" s="79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79"/>
      <c r="FP11" s="79"/>
      <c r="FQ11" s="79"/>
      <c r="FR11" s="79"/>
      <c r="FS11" s="79"/>
      <c r="FT11" s="79"/>
      <c r="FU11" s="79"/>
      <c r="FV11" s="79"/>
      <c r="FW11" s="79"/>
      <c r="FX11" s="79"/>
      <c r="FY11" s="79"/>
      <c r="FZ11" s="79"/>
      <c r="GA11" s="79"/>
      <c r="GB11" s="79"/>
      <c r="GC11" s="79"/>
      <c r="GD11" s="79"/>
      <c r="GE11" s="79"/>
      <c r="GF11" s="79"/>
      <c r="GG11" s="79"/>
      <c r="GH11" s="79"/>
      <c r="GI11" s="79"/>
      <c r="GJ11" s="79"/>
      <c r="GK11" s="79"/>
      <c r="GL11" s="79"/>
      <c r="GM11" s="79"/>
      <c r="GN11" s="79"/>
      <c r="GO11" s="79"/>
      <c r="GP11" s="79"/>
      <c r="GQ11" s="79"/>
      <c r="GR11" s="79"/>
      <c r="GS11" s="79"/>
      <c r="GT11" s="79"/>
      <c r="GU11" s="79"/>
      <c r="GV11" s="79"/>
      <c r="GW11" s="79"/>
      <c r="GX11" s="79"/>
      <c r="GY11" s="79"/>
      <c r="GZ11" s="79"/>
      <c r="HA11" s="79"/>
      <c r="HB11" s="79"/>
      <c r="HC11" s="79"/>
      <c r="HD11" s="79"/>
      <c r="HE11" s="79"/>
      <c r="HF11" s="79"/>
      <c r="HG11" s="79"/>
      <c r="HH11" s="79"/>
      <c r="HI11" s="79"/>
      <c r="HJ11" s="79"/>
      <c r="HK11" s="79"/>
      <c r="HL11" s="79"/>
      <c r="HM11" s="79"/>
      <c r="HN11" s="79"/>
      <c r="HO11" s="79"/>
      <c r="HP11" s="79"/>
      <c r="HQ11" s="79"/>
      <c r="HR11" s="79"/>
      <c r="HS11" s="79"/>
      <c r="HT11" s="79"/>
      <c r="HU11" s="79"/>
      <c r="HV11" s="79"/>
      <c r="HW11" s="79"/>
      <c r="HX11" s="79"/>
      <c r="HY11" s="79"/>
      <c r="HZ11" s="79"/>
      <c r="IA11" s="79"/>
      <c r="IB11" s="79"/>
      <c r="IC11" s="79"/>
      <c r="ID11" s="79"/>
      <c r="IE11" s="79"/>
      <c r="IF11" s="79"/>
      <c r="IG11" s="79"/>
      <c r="IH11" s="79"/>
      <c r="II11" s="79"/>
      <c r="IJ11" s="79"/>
      <c r="IK11" s="79"/>
      <c r="IL11" s="79"/>
      <c r="IM11" s="79"/>
      <c r="IN11" s="79"/>
      <c r="IO11" s="79"/>
      <c r="IP11" s="79"/>
      <c r="IQ11" s="79"/>
      <c r="IR11" s="79"/>
      <c r="IS11" s="79"/>
      <c r="IT11" s="79"/>
      <c r="IU11" s="79"/>
      <c r="IV11" s="79"/>
      <c r="IW11" s="79"/>
    </row>
    <row r="12" customFormat="false" ht="18.75" hidden="false" customHeight="true" outlineLevel="0" collapsed="false">
      <c r="A12" s="83" t="s">
        <v>27</v>
      </c>
      <c r="B12" s="83"/>
      <c r="C12" s="84" t="n">
        <f aca="false">G14*4</f>
        <v>3680</v>
      </c>
      <c r="D12" s="85" t="n">
        <f aca="false">(C12*$F$14*2.5/1000)+(10.5*4)</f>
        <v>469.8</v>
      </c>
      <c r="E12" s="85"/>
      <c r="F12" s="86" t="s">
        <v>28</v>
      </c>
      <c r="G12" s="87" t="s">
        <v>29</v>
      </c>
      <c r="H12" s="87"/>
      <c r="I12" s="79"/>
      <c r="J12" s="79"/>
      <c r="K12" s="79"/>
      <c r="L12" s="88"/>
      <c r="M12" s="43" t="s">
        <v>15</v>
      </c>
      <c r="N12" s="89" t="s">
        <v>16</v>
      </c>
      <c r="O12" s="44" t="s">
        <v>17</v>
      </c>
      <c r="P12" s="79"/>
      <c r="Q12" s="79"/>
      <c r="R12" s="79"/>
      <c r="S12" s="79"/>
      <c r="T12" s="79"/>
      <c r="U12" s="79"/>
      <c r="V12" s="81"/>
      <c r="W12" s="81"/>
      <c r="X12" s="81"/>
      <c r="Y12" s="81"/>
      <c r="Z12" s="81"/>
      <c r="AA12" s="81"/>
      <c r="AB12" s="79"/>
      <c r="AC12" s="79"/>
      <c r="AD12" s="82"/>
      <c r="AE12" s="82"/>
      <c r="AF12" s="82"/>
      <c r="AG12" s="82"/>
      <c r="AH12" s="82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79"/>
      <c r="DB12" s="79"/>
      <c r="DC12" s="79"/>
      <c r="DD12" s="79"/>
      <c r="DE12" s="79"/>
      <c r="DF12" s="79"/>
      <c r="DG12" s="79"/>
      <c r="DH12" s="79"/>
      <c r="DI12" s="79"/>
      <c r="DJ12" s="79"/>
      <c r="DK12" s="79"/>
      <c r="DL12" s="79"/>
      <c r="DM12" s="79"/>
      <c r="DN12" s="79"/>
      <c r="DO12" s="79"/>
      <c r="DP12" s="79"/>
      <c r="DQ12" s="79"/>
      <c r="DR12" s="79"/>
      <c r="DS12" s="79"/>
      <c r="DT12" s="79"/>
      <c r="DU12" s="79"/>
      <c r="DV12" s="79"/>
      <c r="DW12" s="79"/>
      <c r="DX12" s="79"/>
      <c r="DY12" s="79"/>
      <c r="DZ12" s="79"/>
      <c r="EA12" s="79"/>
      <c r="EB12" s="79"/>
      <c r="EC12" s="79"/>
      <c r="ED12" s="79"/>
      <c r="EE12" s="79"/>
      <c r="EF12" s="79"/>
      <c r="EG12" s="79"/>
      <c r="EH12" s="79"/>
      <c r="EI12" s="79"/>
      <c r="EJ12" s="79"/>
      <c r="EK12" s="79"/>
      <c r="EL12" s="79"/>
      <c r="EM12" s="79"/>
      <c r="EN12" s="79"/>
      <c r="EO12" s="79"/>
      <c r="EP12" s="79"/>
      <c r="EQ12" s="79"/>
      <c r="ER12" s="79"/>
      <c r="ES12" s="79"/>
      <c r="ET12" s="79"/>
      <c r="EU12" s="79"/>
      <c r="EV12" s="79"/>
      <c r="EW12" s="79"/>
      <c r="EX12" s="79"/>
      <c r="EY12" s="79"/>
      <c r="EZ12" s="79"/>
      <c r="FA12" s="79"/>
      <c r="FB12" s="79"/>
      <c r="FC12" s="79"/>
      <c r="FD12" s="79"/>
      <c r="FE12" s="79"/>
      <c r="FF12" s="79"/>
      <c r="FG12" s="79"/>
      <c r="FH12" s="79"/>
      <c r="FI12" s="79"/>
      <c r="FJ12" s="79"/>
      <c r="FK12" s="79"/>
      <c r="FL12" s="79"/>
      <c r="FM12" s="79"/>
      <c r="FN12" s="79"/>
      <c r="FO12" s="79"/>
      <c r="FP12" s="79"/>
      <c r="FQ12" s="79"/>
      <c r="FR12" s="79"/>
      <c r="FS12" s="79"/>
      <c r="FT12" s="79"/>
      <c r="FU12" s="79"/>
      <c r="FV12" s="79"/>
      <c r="FW12" s="79"/>
      <c r="FX12" s="79"/>
      <c r="FY12" s="79"/>
      <c r="FZ12" s="79"/>
      <c r="GA12" s="79"/>
      <c r="GB12" s="79"/>
      <c r="GC12" s="79"/>
      <c r="GD12" s="79"/>
      <c r="GE12" s="79"/>
      <c r="GF12" s="79"/>
      <c r="GG12" s="79"/>
      <c r="GH12" s="79"/>
      <c r="GI12" s="79"/>
      <c r="GJ12" s="79"/>
      <c r="GK12" s="79"/>
      <c r="GL12" s="79"/>
      <c r="GM12" s="79"/>
      <c r="GN12" s="79"/>
      <c r="GO12" s="79"/>
      <c r="GP12" s="79"/>
      <c r="GQ12" s="79"/>
      <c r="GR12" s="79"/>
      <c r="GS12" s="79"/>
      <c r="GT12" s="79"/>
      <c r="GU12" s="79"/>
      <c r="GV12" s="79"/>
      <c r="GW12" s="79"/>
      <c r="GX12" s="79"/>
      <c r="GY12" s="79"/>
      <c r="GZ12" s="79"/>
      <c r="HA12" s="79"/>
      <c r="HB12" s="79"/>
      <c r="HC12" s="79"/>
      <c r="HD12" s="79"/>
      <c r="HE12" s="79"/>
      <c r="HF12" s="79"/>
      <c r="HG12" s="79"/>
      <c r="HH12" s="79"/>
      <c r="HI12" s="79"/>
      <c r="HJ12" s="79"/>
      <c r="HK12" s="79"/>
      <c r="HL12" s="79"/>
      <c r="HM12" s="79"/>
      <c r="HN12" s="79"/>
      <c r="HO12" s="79"/>
      <c r="HP12" s="79"/>
      <c r="HQ12" s="79"/>
      <c r="HR12" s="79"/>
      <c r="HS12" s="79"/>
      <c r="HT12" s="79"/>
      <c r="HU12" s="79"/>
      <c r="HV12" s="79"/>
      <c r="HW12" s="79"/>
      <c r="HX12" s="79"/>
      <c r="HY12" s="79"/>
      <c r="HZ12" s="79"/>
      <c r="IA12" s="79"/>
      <c r="IB12" s="79"/>
      <c r="IC12" s="79"/>
      <c r="ID12" s="79"/>
      <c r="IE12" s="79"/>
      <c r="IF12" s="79"/>
      <c r="IG12" s="79"/>
      <c r="IH12" s="79"/>
      <c r="II12" s="79"/>
      <c r="IJ12" s="79"/>
      <c r="IK12" s="79"/>
      <c r="IL12" s="79"/>
      <c r="IM12" s="79"/>
      <c r="IN12" s="79"/>
      <c r="IO12" s="79"/>
      <c r="IP12" s="79"/>
      <c r="IQ12" s="79"/>
      <c r="IR12" s="79"/>
      <c r="IS12" s="79"/>
      <c r="IT12" s="79"/>
      <c r="IU12" s="79"/>
      <c r="IV12" s="79"/>
      <c r="IW12" s="79"/>
    </row>
    <row r="13" customFormat="false" ht="23.25" hidden="false" customHeight="true" outlineLevel="0" collapsed="false">
      <c r="A13" s="90" t="s">
        <v>30</v>
      </c>
      <c r="B13" s="90"/>
      <c r="C13" s="84" t="n">
        <f aca="false">G14*6</f>
        <v>5520</v>
      </c>
      <c r="D13" s="85" t="n">
        <f aca="false">(C13*$F$14*2.5/1000)+(10.5*6)</f>
        <v>704.7</v>
      </c>
      <c r="E13" s="85"/>
      <c r="F13" s="91"/>
      <c r="G13" s="91"/>
      <c r="H13" s="91"/>
      <c r="I13" s="79"/>
      <c r="J13" s="79"/>
      <c r="K13" s="79"/>
      <c r="L13" s="88"/>
      <c r="M13" s="92" t="n">
        <f aca="false">E7+D13+C17</f>
        <v>3636.09</v>
      </c>
      <c r="N13" s="54" t="n">
        <f aca="false">F7+D13+C17</f>
        <v>4688.49</v>
      </c>
      <c r="O13" s="93" t="n">
        <f aca="false">G7+D13+C17</f>
        <v>5868.49</v>
      </c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79"/>
      <c r="DB13" s="79"/>
      <c r="DC13" s="79"/>
      <c r="DD13" s="79"/>
      <c r="DE13" s="79"/>
      <c r="DF13" s="79"/>
      <c r="DG13" s="79"/>
      <c r="DH13" s="79"/>
      <c r="DI13" s="79"/>
      <c r="DJ13" s="79"/>
      <c r="DK13" s="79"/>
      <c r="DL13" s="79"/>
      <c r="DM13" s="79"/>
      <c r="DN13" s="79"/>
      <c r="DO13" s="79"/>
      <c r="DP13" s="79"/>
      <c r="DQ13" s="79"/>
      <c r="DR13" s="79"/>
      <c r="DS13" s="79"/>
      <c r="DT13" s="79"/>
      <c r="DU13" s="79"/>
      <c r="DV13" s="79"/>
      <c r="DW13" s="79"/>
      <c r="DX13" s="79"/>
      <c r="DY13" s="79"/>
      <c r="DZ13" s="79"/>
      <c r="EA13" s="79"/>
      <c r="EB13" s="79"/>
      <c r="EC13" s="79"/>
      <c r="ED13" s="79"/>
      <c r="EE13" s="79"/>
      <c r="EF13" s="79"/>
      <c r="EG13" s="79"/>
      <c r="EH13" s="79"/>
      <c r="EI13" s="79"/>
      <c r="EJ13" s="79"/>
      <c r="EK13" s="79"/>
      <c r="EL13" s="79"/>
      <c r="EM13" s="79"/>
      <c r="EN13" s="79"/>
      <c r="EO13" s="79"/>
      <c r="EP13" s="79"/>
      <c r="EQ13" s="79"/>
      <c r="ER13" s="79"/>
      <c r="ES13" s="79"/>
      <c r="ET13" s="79"/>
      <c r="EU13" s="79"/>
      <c r="EV13" s="79"/>
      <c r="EW13" s="79"/>
      <c r="EX13" s="79"/>
      <c r="EY13" s="79"/>
      <c r="EZ13" s="79"/>
      <c r="FA13" s="79"/>
      <c r="FB13" s="79"/>
      <c r="FC13" s="79"/>
      <c r="FD13" s="79"/>
      <c r="FE13" s="79"/>
      <c r="FF13" s="79"/>
      <c r="FG13" s="79"/>
      <c r="FH13" s="79"/>
      <c r="FI13" s="79"/>
      <c r="FJ13" s="79"/>
      <c r="FK13" s="79"/>
      <c r="FL13" s="79"/>
      <c r="FM13" s="79"/>
      <c r="FN13" s="79"/>
      <c r="FO13" s="79"/>
      <c r="FP13" s="79"/>
      <c r="FQ13" s="79"/>
      <c r="FR13" s="79"/>
      <c r="FS13" s="79"/>
      <c r="FT13" s="79"/>
      <c r="FU13" s="79"/>
      <c r="FV13" s="79"/>
      <c r="FW13" s="79"/>
      <c r="FX13" s="79"/>
      <c r="FY13" s="79"/>
      <c r="FZ13" s="79"/>
      <c r="GA13" s="79"/>
      <c r="GB13" s="79"/>
      <c r="GC13" s="79"/>
      <c r="GD13" s="79"/>
      <c r="GE13" s="79"/>
      <c r="GF13" s="79"/>
      <c r="GG13" s="79"/>
      <c r="GH13" s="79"/>
      <c r="GI13" s="79"/>
      <c r="GJ13" s="79"/>
      <c r="GK13" s="79"/>
      <c r="GL13" s="79"/>
      <c r="GM13" s="79"/>
      <c r="GN13" s="79"/>
      <c r="GO13" s="79"/>
      <c r="GP13" s="79"/>
      <c r="GQ13" s="79"/>
      <c r="GR13" s="79"/>
      <c r="GS13" s="79"/>
      <c r="GT13" s="79"/>
      <c r="GU13" s="79"/>
      <c r="GV13" s="79"/>
      <c r="GW13" s="79"/>
      <c r="GX13" s="79"/>
      <c r="GY13" s="79"/>
      <c r="GZ13" s="79"/>
      <c r="HA13" s="79"/>
      <c r="HB13" s="79"/>
      <c r="HC13" s="79"/>
      <c r="HD13" s="79"/>
      <c r="HE13" s="79"/>
      <c r="HF13" s="79"/>
      <c r="HG13" s="79"/>
      <c r="HH13" s="79"/>
      <c r="HI13" s="79"/>
      <c r="HJ13" s="79"/>
      <c r="HK13" s="79"/>
      <c r="HL13" s="79"/>
      <c r="HM13" s="79"/>
      <c r="HN13" s="79"/>
      <c r="HO13" s="79"/>
      <c r="HP13" s="79"/>
      <c r="HQ13" s="79"/>
      <c r="HR13" s="79"/>
      <c r="HS13" s="79"/>
      <c r="HT13" s="79"/>
      <c r="HU13" s="79"/>
      <c r="HV13" s="79"/>
      <c r="HW13" s="79"/>
      <c r="HX13" s="79"/>
      <c r="HY13" s="79"/>
      <c r="HZ13" s="79"/>
      <c r="IA13" s="79"/>
      <c r="IB13" s="79"/>
      <c r="IC13" s="79"/>
      <c r="ID13" s="79"/>
      <c r="IE13" s="79"/>
      <c r="IF13" s="79"/>
      <c r="IG13" s="79"/>
      <c r="IH13" s="79"/>
      <c r="II13" s="79"/>
      <c r="IJ13" s="79"/>
      <c r="IK13" s="79"/>
      <c r="IL13" s="79"/>
      <c r="IM13" s="79"/>
      <c r="IN13" s="79"/>
      <c r="IO13" s="79"/>
      <c r="IP13" s="79"/>
      <c r="IQ13" s="79"/>
      <c r="IR13" s="79"/>
      <c r="IS13" s="79"/>
      <c r="IT13" s="79"/>
      <c r="IU13" s="79"/>
      <c r="IV13" s="79"/>
      <c r="IW13" s="79"/>
    </row>
    <row r="14" customFormat="false" ht="19.5" hidden="false" customHeight="true" outlineLevel="0" collapsed="false">
      <c r="A14" s="94" t="s">
        <v>31</v>
      </c>
      <c r="B14" s="94"/>
      <c r="C14" s="84" t="n">
        <f aca="false">G14*7</f>
        <v>6440</v>
      </c>
      <c r="D14" s="85" t="n">
        <f aca="false">(C14*F14*2.5/1000)+(10.5*7)</f>
        <v>822.15</v>
      </c>
      <c r="E14" s="85"/>
      <c r="F14" s="95" t="n">
        <v>46.5</v>
      </c>
      <c r="G14" s="96" t="n">
        <v>920</v>
      </c>
      <c r="H14" s="96"/>
      <c r="I14" s="79"/>
      <c r="J14" s="79"/>
      <c r="K14" s="79"/>
      <c r="L14" s="88"/>
      <c r="M14" s="64" t="s">
        <v>23</v>
      </c>
      <c r="N14" s="64"/>
      <c r="O14" s="64"/>
      <c r="P14" s="79"/>
      <c r="Q14" s="79"/>
      <c r="R14" s="79"/>
      <c r="S14" s="79"/>
      <c r="T14" s="79"/>
      <c r="U14" s="79"/>
      <c r="V14" s="81" t="s">
        <v>32</v>
      </c>
      <c r="W14" s="81"/>
      <c r="X14" s="81"/>
      <c r="Y14" s="81"/>
      <c r="Z14" s="81"/>
      <c r="AA14" s="81"/>
      <c r="AB14" s="79"/>
      <c r="AC14" s="79"/>
      <c r="AD14" s="97" t="n">
        <v>140</v>
      </c>
      <c r="AE14" s="97"/>
      <c r="AF14" s="97"/>
      <c r="AG14" s="97"/>
      <c r="AH14" s="97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  <c r="EU14" s="79"/>
      <c r="EV14" s="79"/>
      <c r="EW14" s="79"/>
      <c r="EX14" s="79"/>
      <c r="EY14" s="79"/>
      <c r="EZ14" s="79"/>
      <c r="FA14" s="79"/>
      <c r="FB14" s="79"/>
      <c r="FC14" s="79"/>
      <c r="FD14" s="79"/>
      <c r="FE14" s="79"/>
      <c r="FF14" s="79"/>
      <c r="FG14" s="79"/>
      <c r="FH14" s="79"/>
      <c r="FI14" s="79"/>
      <c r="FJ14" s="79"/>
      <c r="FK14" s="79"/>
      <c r="FL14" s="79"/>
      <c r="FM14" s="79"/>
      <c r="FN14" s="79"/>
      <c r="FO14" s="79"/>
      <c r="FP14" s="79"/>
      <c r="FQ14" s="79"/>
      <c r="FR14" s="79"/>
      <c r="FS14" s="79"/>
      <c r="FT14" s="79"/>
      <c r="FU14" s="79"/>
      <c r="FV14" s="79"/>
      <c r="FW14" s="79"/>
      <c r="FX14" s="79"/>
      <c r="FY14" s="79"/>
      <c r="FZ14" s="79"/>
      <c r="GA14" s="79"/>
      <c r="GB14" s="79"/>
      <c r="GC14" s="79"/>
      <c r="GD14" s="79"/>
      <c r="GE14" s="79"/>
      <c r="GF14" s="79"/>
      <c r="GG14" s="79"/>
      <c r="GH14" s="79"/>
      <c r="GI14" s="79"/>
      <c r="GJ14" s="79"/>
      <c r="GK14" s="79"/>
      <c r="GL14" s="79"/>
      <c r="GM14" s="79"/>
      <c r="GN14" s="79"/>
      <c r="GO14" s="79"/>
      <c r="GP14" s="79"/>
      <c r="GQ14" s="79"/>
      <c r="GR14" s="79"/>
      <c r="GS14" s="79"/>
      <c r="GT14" s="79"/>
      <c r="GU14" s="79"/>
      <c r="GV14" s="79"/>
      <c r="GW14" s="79"/>
      <c r="GX14" s="79"/>
      <c r="GY14" s="79"/>
      <c r="GZ14" s="79"/>
      <c r="HA14" s="79"/>
      <c r="HB14" s="79"/>
      <c r="HC14" s="79"/>
      <c r="HD14" s="79"/>
      <c r="HE14" s="79"/>
      <c r="HF14" s="79"/>
      <c r="HG14" s="79"/>
      <c r="HH14" s="79"/>
      <c r="HI14" s="79"/>
      <c r="HJ14" s="79"/>
      <c r="HK14" s="79"/>
      <c r="HL14" s="79"/>
      <c r="HM14" s="79"/>
      <c r="HN14" s="79"/>
      <c r="HO14" s="79"/>
      <c r="HP14" s="79"/>
      <c r="HQ14" s="79"/>
      <c r="HR14" s="79"/>
      <c r="HS14" s="79"/>
      <c r="HT14" s="79"/>
      <c r="HU14" s="79"/>
      <c r="HV14" s="79"/>
      <c r="HW14" s="79"/>
      <c r="HX14" s="79"/>
      <c r="HY14" s="79"/>
      <c r="HZ14" s="79"/>
      <c r="IA14" s="79"/>
      <c r="IB14" s="79"/>
      <c r="IC14" s="79"/>
      <c r="ID14" s="79"/>
      <c r="IE14" s="79"/>
      <c r="IF14" s="79"/>
      <c r="IG14" s="79"/>
      <c r="IH14" s="79"/>
      <c r="II14" s="79"/>
      <c r="IJ14" s="79"/>
      <c r="IK14" s="79"/>
      <c r="IL14" s="79"/>
      <c r="IM14" s="79"/>
      <c r="IN14" s="79"/>
      <c r="IO14" s="79"/>
      <c r="IP14" s="79"/>
      <c r="IQ14" s="79"/>
      <c r="IR14" s="79"/>
      <c r="IS14" s="79"/>
      <c r="IT14" s="79"/>
      <c r="IU14" s="79"/>
      <c r="IV14" s="79"/>
      <c r="IW14" s="79"/>
    </row>
    <row r="15" customFormat="false" ht="28.5" hidden="false" customHeight="false" outlineLevel="0" collapsed="false">
      <c r="A15" s="98" t="s">
        <v>33</v>
      </c>
      <c r="B15" s="98"/>
      <c r="C15" s="98"/>
      <c r="D15" s="98"/>
      <c r="E15" s="98"/>
      <c r="F15" s="98"/>
      <c r="G15" s="98"/>
      <c r="H15" s="98"/>
      <c r="I15" s="79"/>
      <c r="J15" s="79"/>
      <c r="K15" s="79"/>
      <c r="L15" s="88"/>
      <c r="M15" s="99" t="n">
        <f aca="false">E9+D13+C17</f>
        <v>3636.09</v>
      </c>
      <c r="N15" s="99" t="n">
        <f aca="false">F9+D13+C17</f>
        <v>5500.89</v>
      </c>
      <c r="O15" s="99" t="n">
        <f aca="false">G9+D13+C17</f>
        <v>6680.89</v>
      </c>
      <c r="P15" s="79"/>
      <c r="Q15" s="79"/>
      <c r="R15" s="79"/>
      <c r="S15" s="79"/>
      <c r="T15" s="79"/>
      <c r="U15" s="79"/>
      <c r="V15" s="81"/>
      <c r="W15" s="81"/>
      <c r="X15" s="81"/>
      <c r="Y15" s="81"/>
      <c r="Z15" s="81"/>
      <c r="AA15" s="81"/>
      <c r="AB15" s="79"/>
      <c r="AC15" s="79"/>
      <c r="AD15" s="97"/>
      <c r="AE15" s="97"/>
      <c r="AF15" s="97"/>
      <c r="AG15" s="97"/>
      <c r="AH15" s="97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  <c r="EU15" s="79"/>
      <c r="EV15" s="79"/>
      <c r="EW15" s="79"/>
      <c r="EX15" s="79"/>
      <c r="EY15" s="79"/>
      <c r="EZ15" s="79"/>
      <c r="FA15" s="79"/>
      <c r="FB15" s="79"/>
      <c r="FC15" s="79"/>
      <c r="FD15" s="79"/>
      <c r="FE15" s="79"/>
      <c r="FF15" s="79"/>
      <c r="FG15" s="79"/>
      <c r="FH15" s="79"/>
      <c r="FI15" s="79"/>
      <c r="FJ15" s="79"/>
      <c r="FK15" s="79"/>
      <c r="FL15" s="79"/>
      <c r="FM15" s="79"/>
      <c r="FN15" s="79"/>
      <c r="FO15" s="79"/>
      <c r="FP15" s="79"/>
      <c r="FQ15" s="79"/>
      <c r="FR15" s="79"/>
      <c r="FS15" s="79"/>
      <c r="FT15" s="79"/>
      <c r="FU15" s="79"/>
      <c r="FV15" s="79"/>
      <c r="FW15" s="79"/>
      <c r="FX15" s="79"/>
      <c r="FY15" s="79"/>
      <c r="FZ15" s="79"/>
      <c r="GA15" s="79"/>
      <c r="GB15" s="79"/>
      <c r="GC15" s="79"/>
      <c r="GD15" s="79"/>
      <c r="GE15" s="79"/>
      <c r="GF15" s="79"/>
      <c r="GG15" s="79"/>
      <c r="GH15" s="79"/>
      <c r="GI15" s="79"/>
      <c r="GJ15" s="79"/>
      <c r="GK15" s="79"/>
      <c r="GL15" s="79"/>
      <c r="GM15" s="79"/>
      <c r="GN15" s="79"/>
      <c r="GO15" s="79"/>
      <c r="GP15" s="79"/>
      <c r="GQ15" s="79"/>
      <c r="GR15" s="79"/>
      <c r="GS15" s="79"/>
      <c r="GT15" s="79"/>
      <c r="GU15" s="79"/>
      <c r="GV15" s="79"/>
      <c r="GW15" s="79"/>
      <c r="GX15" s="79"/>
      <c r="GY15" s="79"/>
      <c r="GZ15" s="79"/>
      <c r="HA15" s="79"/>
      <c r="HB15" s="79"/>
      <c r="HC15" s="79"/>
      <c r="HD15" s="79"/>
      <c r="HE15" s="79"/>
      <c r="HF15" s="79"/>
      <c r="HG15" s="79"/>
      <c r="HH15" s="79"/>
      <c r="HI15" s="79"/>
      <c r="HJ15" s="79"/>
      <c r="HK15" s="79"/>
      <c r="HL15" s="79"/>
      <c r="HM15" s="79"/>
      <c r="HN15" s="79"/>
      <c r="HO15" s="79"/>
      <c r="HP15" s="79"/>
      <c r="HQ15" s="79"/>
      <c r="HR15" s="79"/>
      <c r="HS15" s="79"/>
      <c r="HT15" s="79"/>
      <c r="HU15" s="79"/>
      <c r="HV15" s="79"/>
      <c r="HW15" s="79"/>
      <c r="HX15" s="79"/>
      <c r="HY15" s="79"/>
      <c r="HZ15" s="79"/>
      <c r="IA15" s="79"/>
      <c r="IB15" s="79"/>
      <c r="IC15" s="79"/>
      <c r="ID15" s="79"/>
      <c r="IE15" s="79"/>
      <c r="IF15" s="79"/>
      <c r="IG15" s="79"/>
      <c r="IH15" s="79"/>
      <c r="II15" s="79"/>
      <c r="IJ15" s="79"/>
      <c r="IK15" s="79"/>
      <c r="IL15" s="79"/>
      <c r="IM15" s="79"/>
      <c r="IN15" s="79"/>
      <c r="IO15" s="79"/>
      <c r="IP15" s="79"/>
      <c r="IQ15" s="79"/>
      <c r="IR15" s="79"/>
      <c r="IS15" s="79"/>
      <c r="IT15" s="79"/>
      <c r="IU15" s="79"/>
      <c r="IV15" s="79"/>
      <c r="IW15" s="79"/>
    </row>
    <row r="16" customFormat="false" ht="19.5" hidden="false" customHeight="false" outlineLevel="0" collapsed="false">
      <c r="A16" s="100" t="s">
        <v>34</v>
      </c>
      <c r="B16" s="101"/>
      <c r="C16" s="102" t="n">
        <v>600</v>
      </c>
      <c r="D16" s="102" t="n">
        <v>600</v>
      </c>
      <c r="E16" s="103" t="s">
        <v>35</v>
      </c>
      <c r="F16" s="103" t="s">
        <v>36</v>
      </c>
      <c r="G16" s="104" t="n">
        <v>35</v>
      </c>
      <c r="H16" s="105"/>
      <c r="I16" s="79"/>
      <c r="J16" s="79"/>
      <c r="K16" s="79"/>
      <c r="L16" s="79"/>
      <c r="M16" s="106"/>
      <c r="N16" s="106"/>
      <c r="O16" s="10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  <c r="EU16" s="79"/>
      <c r="EV16" s="79"/>
      <c r="EW16" s="79"/>
      <c r="EX16" s="79"/>
      <c r="EY16" s="79"/>
      <c r="EZ16" s="79"/>
      <c r="FA16" s="79"/>
      <c r="FB16" s="79"/>
      <c r="FC16" s="79"/>
      <c r="FD16" s="79"/>
      <c r="FE16" s="79"/>
      <c r="FF16" s="79"/>
      <c r="FG16" s="79"/>
      <c r="FH16" s="79"/>
      <c r="FI16" s="79"/>
      <c r="FJ16" s="79"/>
      <c r="FK16" s="79"/>
      <c r="FL16" s="79"/>
      <c r="FM16" s="79"/>
      <c r="FN16" s="79"/>
      <c r="FO16" s="79"/>
      <c r="FP16" s="79"/>
      <c r="FQ16" s="79"/>
      <c r="FR16" s="79"/>
      <c r="FS16" s="79"/>
      <c r="FT16" s="79"/>
      <c r="FU16" s="79"/>
      <c r="FV16" s="79"/>
      <c r="FW16" s="79"/>
      <c r="FX16" s="79"/>
      <c r="FY16" s="79"/>
      <c r="FZ16" s="79"/>
      <c r="GA16" s="79"/>
      <c r="GB16" s="79"/>
      <c r="GC16" s="79"/>
      <c r="GD16" s="79"/>
      <c r="GE16" s="79"/>
      <c r="GF16" s="79"/>
      <c r="GG16" s="79"/>
      <c r="GH16" s="79"/>
      <c r="GI16" s="79"/>
      <c r="GJ16" s="79"/>
      <c r="GK16" s="79"/>
      <c r="GL16" s="79"/>
      <c r="GM16" s="79"/>
      <c r="GN16" s="79"/>
      <c r="GO16" s="79"/>
      <c r="GP16" s="79"/>
      <c r="GQ16" s="79"/>
      <c r="GR16" s="79"/>
      <c r="GS16" s="79"/>
      <c r="GT16" s="79"/>
      <c r="GU16" s="79"/>
      <c r="GV16" s="79"/>
      <c r="GW16" s="79"/>
      <c r="GX16" s="79"/>
      <c r="GY16" s="79"/>
      <c r="GZ16" s="79"/>
      <c r="HA16" s="79"/>
      <c r="HB16" s="79"/>
      <c r="HC16" s="79"/>
      <c r="HD16" s="79"/>
      <c r="HE16" s="79"/>
      <c r="HF16" s="79"/>
      <c r="HG16" s="79"/>
      <c r="HH16" s="79"/>
      <c r="HI16" s="79"/>
      <c r="HJ16" s="79"/>
      <c r="HK16" s="79"/>
      <c r="HL16" s="79"/>
      <c r="HM16" s="79"/>
      <c r="HN16" s="79"/>
      <c r="HO16" s="79"/>
      <c r="HP16" s="79"/>
      <c r="HQ16" s="79"/>
      <c r="HR16" s="79"/>
      <c r="HS16" s="79"/>
      <c r="HT16" s="79"/>
      <c r="HU16" s="79"/>
      <c r="HV16" s="79"/>
      <c r="HW16" s="79"/>
      <c r="HX16" s="79"/>
      <c r="HY16" s="79"/>
      <c r="HZ16" s="79"/>
      <c r="IA16" s="79"/>
      <c r="IB16" s="79"/>
      <c r="IC16" s="79"/>
      <c r="ID16" s="79"/>
      <c r="IE16" s="79"/>
      <c r="IF16" s="79"/>
      <c r="IG16" s="79"/>
      <c r="IH16" s="79"/>
      <c r="II16" s="79"/>
      <c r="IJ16" s="79"/>
      <c r="IK16" s="79"/>
      <c r="IL16" s="79"/>
      <c r="IM16" s="79"/>
      <c r="IN16" s="79"/>
      <c r="IO16" s="79"/>
      <c r="IP16" s="79"/>
      <c r="IQ16" s="79"/>
      <c r="IR16" s="79"/>
      <c r="IS16" s="79"/>
      <c r="IT16" s="79"/>
      <c r="IU16" s="79"/>
      <c r="IV16" s="79"/>
      <c r="IW16" s="79"/>
    </row>
    <row r="17" customFormat="false" ht="24.75" hidden="false" customHeight="true" outlineLevel="0" collapsed="false">
      <c r="A17" s="107"/>
      <c r="B17" s="108" t="n">
        <f aca="false">C16+D16+D16</f>
        <v>1800</v>
      </c>
      <c r="C17" s="109" t="n">
        <f aca="false">(B17*G16)/1000*2.5</f>
        <v>157.5</v>
      </c>
      <c r="D17" s="109"/>
      <c r="E17" s="110"/>
      <c r="F17" s="111"/>
      <c r="G17" s="111"/>
      <c r="H17" s="112"/>
      <c r="I17" s="79"/>
      <c r="J17" s="79"/>
      <c r="K17" s="79"/>
      <c r="L17" s="79"/>
      <c r="M17" s="80" t="s">
        <v>37</v>
      </c>
      <c r="N17" s="80"/>
      <c r="O17" s="80"/>
      <c r="P17" s="79"/>
      <c r="Q17" s="79"/>
      <c r="R17" s="79"/>
      <c r="S17" s="79"/>
      <c r="T17" s="79"/>
      <c r="U17" s="79"/>
      <c r="V17" s="81" t="s">
        <v>38</v>
      </c>
      <c r="W17" s="81"/>
      <c r="X17" s="81"/>
      <c r="Y17" s="81"/>
      <c r="Z17" s="81"/>
      <c r="AA17" s="81"/>
      <c r="AB17" s="79"/>
      <c r="AC17" s="79"/>
      <c r="AD17" s="82" t="n">
        <v>150</v>
      </c>
      <c r="AE17" s="82"/>
      <c r="AF17" s="82"/>
      <c r="AG17" s="82"/>
      <c r="AH17" s="82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  <c r="EU17" s="79"/>
      <c r="EV17" s="79"/>
      <c r="EW17" s="79"/>
      <c r="EX17" s="79"/>
      <c r="EY17" s="79"/>
      <c r="EZ17" s="79"/>
      <c r="FA17" s="79"/>
      <c r="FB17" s="79"/>
      <c r="FC17" s="79"/>
      <c r="FD17" s="79"/>
      <c r="FE17" s="79"/>
      <c r="FF17" s="79"/>
      <c r="FG17" s="79"/>
      <c r="FH17" s="79"/>
      <c r="FI17" s="79"/>
      <c r="FJ17" s="79"/>
      <c r="FK17" s="79"/>
      <c r="FL17" s="79"/>
      <c r="FM17" s="79"/>
      <c r="FN17" s="79"/>
      <c r="FO17" s="79"/>
      <c r="FP17" s="79"/>
      <c r="FQ17" s="79"/>
      <c r="FR17" s="79"/>
      <c r="FS17" s="79"/>
      <c r="FT17" s="79"/>
      <c r="FU17" s="79"/>
      <c r="FV17" s="79"/>
      <c r="FW17" s="79"/>
      <c r="FX17" s="79"/>
      <c r="FY17" s="79"/>
      <c r="FZ17" s="79"/>
      <c r="GA17" s="79"/>
      <c r="GB17" s="79"/>
      <c r="GC17" s="79"/>
      <c r="GD17" s="79"/>
      <c r="GE17" s="79"/>
      <c r="GF17" s="79"/>
      <c r="GG17" s="79"/>
      <c r="GH17" s="79"/>
      <c r="GI17" s="79"/>
      <c r="GJ17" s="79"/>
      <c r="GK17" s="79"/>
      <c r="GL17" s="79"/>
      <c r="GM17" s="79"/>
      <c r="GN17" s="79"/>
      <c r="GO17" s="79"/>
      <c r="GP17" s="79"/>
      <c r="GQ17" s="79"/>
      <c r="GR17" s="79"/>
      <c r="GS17" s="79"/>
      <c r="GT17" s="79"/>
      <c r="GU17" s="79"/>
      <c r="GV17" s="79"/>
      <c r="GW17" s="79"/>
      <c r="GX17" s="79"/>
      <c r="GY17" s="79"/>
      <c r="GZ17" s="79"/>
      <c r="HA17" s="79"/>
      <c r="HB17" s="79"/>
      <c r="HC17" s="79"/>
      <c r="HD17" s="79"/>
      <c r="HE17" s="79"/>
      <c r="HF17" s="79"/>
      <c r="HG17" s="79"/>
      <c r="HH17" s="79"/>
      <c r="HI17" s="79"/>
      <c r="HJ17" s="79"/>
      <c r="HK17" s="79"/>
      <c r="HL17" s="79"/>
      <c r="HM17" s="79"/>
      <c r="HN17" s="79"/>
      <c r="HO17" s="79"/>
      <c r="HP17" s="79"/>
      <c r="HQ17" s="79"/>
      <c r="HR17" s="79"/>
      <c r="HS17" s="79"/>
      <c r="HT17" s="79"/>
      <c r="HU17" s="79"/>
      <c r="HV17" s="79"/>
      <c r="HW17" s="79"/>
      <c r="HX17" s="79"/>
      <c r="HY17" s="79"/>
      <c r="HZ17" s="79"/>
      <c r="IA17" s="79"/>
      <c r="IB17" s="79"/>
      <c r="IC17" s="79"/>
      <c r="ID17" s="79"/>
      <c r="IE17" s="79"/>
      <c r="IF17" s="79"/>
      <c r="IG17" s="79"/>
      <c r="IH17" s="79"/>
      <c r="II17" s="79"/>
      <c r="IJ17" s="79"/>
      <c r="IK17" s="79"/>
      <c r="IL17" s="79"/>
      <c r="IM17" s="79"/>
      <c r="IN17" s="79"/>
      <c r="IO17" s="79"/>
      <c r="IP17" s="79"/>
      <c r="IQ17" s="79"/>
      <c r="IR17" s="79"/>
      <c r="IS17" s="79"/>
      <c r="IT17" s="79"/>
      <c r="IU17" s="79"/>
      <c r="IV17" s="79"/>
      <c r="IW17" s="79"/>
    </row>
    <row r="18" customFormat="false" ht="15.75" hidden="false" customHeight="false" outlineLevel="0" collapsed="false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43" t="s">
        <v>39</v>
      </c>
      <c r="N18" s="43" t="s">
        <v>40</v>
      </c>
      <c r="O18" s="43" t="s">
        <v>41</v>
      </c>
      <c r="P18" s="79"/>
      <c r="Q18" s="79"/>
      <c r="R18" s="79"/>
      <c r="S18" s="79"/>
      <c r="T18" s="79"/>
      <c r="U18" s="79"/>
      <c r="V18" s="81"/>
      <c r="W18" s="81"/>
      <c r="X18" s="81"/>
      <c r="Y18" s="81"/>
      <c r="Z18" s="81"/>
      <c r="AA18" s="81"/>
      <c r="AB18" s="79"/>
      <c r="AC18" s="79"/>
      <c r="AD18" s="82"/>
      <c r="AE18" s="82"/>
      <c r="AF18" s="82"/>
      <c r="AG18" s="82"/>
      <c r="AH18" s="82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  <c r="EU18" s="79"/>
      <c r="EV18" s="79"/>
      <c r="EW18" s="79"/>
      <c r="EX18" s="79"/>
      <c r="EY18" s="79"/>
      <c r="EZ18" s="79"/>
      <c r="FA18" s="79"/>
      <c r="FB18" s="79"/>
      <c r="FC18" s="79"/>
      <c r="FD18" s="79"/>
      <c r="FE18" s="79"/>
      <c r="FF18" s="79"/>
      <c r="FG18" s="79"/>
      <c r="FH18" s="79"/>
      <c r="FI18" s="79"/>
      <c r="FJ18" s="79"/>
      <c r="FK18" s="79"/>
      <c r="FL18" s="79"/>
      <c r="FM18" s="79"/>
      <c r="FN18" s="79"/>
      <c r="FO18" s="79"/>
      <c r="FP18" s="79"/>
      <c r="FQ18" s="79"/>
      <c r="FR18" s="79"/>
      <c r="FS18" s="79"/>
      <c r="FT18" s="79"/>
      <c r="FU18" s="79"/>
      <c r="FV18" s="79"/>
      <c r="FW18" s="79"/>
      <c r="FX18" s="79"/>
      <c r="FY18" s="79"/>
      <c r="FZ18" s="79"/>
      <c r="GA18" s="79"/>
      <c r="GB18" s="79"/>
      <c r="GC18" s="79"/>
      <c r="GD18" s="79"/>
      <c r="GE18" s="79"/>
      <c r="GF18" s="79"/>
      <c r="GG18" s="79"/>
      <c r="GH18" s="79"/>
      <c r="GI18" s="79"/>
      <c r="GJ18" s="79"/>
      <c r="GK18" s="79"/>
      <c r="GL18" s="79"/>
      <c r="GM18" s="79"/>
      <c r="GN18" s="79"/>
      <c r="GO18" s="79"/>
      <c r="GP18" s="79"/>
      <c r="GQ18" s="79"/>
      <c r="GR18" s="79"/>
      <c r="GS18" s="79"/>
      <c r="GT18" s="79"/>
      <c r="GU18" s="79"/>
      <c r="GV18" s="79"/>
      <c r="GW18" s="79"/>
      <c r="GX18" s="79"/>
      <c r="GY18" s="79"/>
      <c r="GZ18" s="79"/>
      <c r="HA18" s="79"/>
      <c r="HB18" s="79"/>
      <c r="HC18" s="79"/>
      <c r="HD18" s="79"/>
      <c r="HE18" s="79"/>
      <c r="HF18" s="79"/>
      <c r="HG18" s="79"/>
      <c r="HH18" s="79"/>
      <c r="HI18" s="79"/>
      <c r="HJ18" s="79"/>
      <c r="HK18" s="79"/>
      <c r="HL18" s="79"/>
      <c r="HM18" s="79"/>
      <c r="HN18" s="79"/>
      <c r="HO18" s="79"/>
      <c r="HP18" s="79"/>
      <c r="HQ18" s="79"/>
      <c r="HR18" s="79"/>
      <c r="HS18" s="79"/>
      <c r="HT18" s="79"/>
      <c r="HU18" s="79"/>
      <c r="HV18" s="79"/>
      <c r="HW18" s="79"/>
      <c r="HX18" s="79"/>
      <c r="HY18" s="79"/>
      <c r="HZ18" s="79"/>
      <c r="IA18" s="79"/>
      <c r="IB18" s="79"/>
      <c r="IC18" s="79"/>
      <c r="ID18" s="79"/>
      <c r="IE18" s="79"/>
      <c r="IF18" s="79"/>
      <c r="IG18" s="79"/>
      <c r="IH18" s="79"/>
      <c r="II18" s="79"/>
      <c r="IJ18" s="79"/>
      <c r="IK18" s="79"/>
      <c r="IL18" s="79"/>
      <c r="IM18" s="79"/>
      <c r="IN18" s="79"/>
      <c r="IO18" s="79"/>
      <c r="IP18" s="79"/>
      <c r="IQ18" s="79"/>
      <c r="IR18" s="79"/>
      <c r="IS18" s="79"/>
      <c r="IT18" s="79"/>
      <c r="IU18" s="79"/>
      <c r="IV18" s="79"/>
      <c r="IW18" s="79"/>
    </row>
    <row r="19" customFormat="false" ht="22.5" hidden="false" customHeight="false" outlineLevel="0" collapsed="false">
      <c r="A19" s="113" t="s">
        <v>42</v>
      </c>
      <c r="B19" s="114"/>
      <c r="C19" s="114"/>
      <c r="D19" s="114"/>
      <c r="E19" s="79"/>
      <c r="F19" s="115" t="s">
        <v>43</v>
      </c>
      <c r="G19" s="116" t="n">
        <v>0.14</v>
      </c>
      <c r="H19" s="79"/>
      <c r="I19" s="79"/>
      <c r="J19" s="79"/>
      <c r="K19" s="79"/>
      <c r="L19" s="79"/>
      <c r="M19" s="117" t="n">
        <f aca="false">E7+D14+C17</f>
        <v>3753.54</v>
      </c>
      <c r="N19" s="117" t="n">
        <f aca="false">F7+D14+C17</f>
        <v>4805.94</v>
      </c>
      <c r="O19" s="117" t="n">
        <f aca="false">G7+D14+C17</f>
        <v>5985.94</v>
      </c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  <c r="EU19" s="79"/>
      <c r="EV19" s="79"/>
      <c r="EW19" s="79"/>
      <c r="EX19" s="79"/>
      <c r="EY19" s="79"/>
      <c r="EZ19" s="79"/>
      <c r="FA19" s="79"/>
      <c r="FB19" s="79"/>
      <c r="FC19" s="79"/>
      <c r="FD19" s="79"/>
      <c r="FE19" s="79"/>
      <c r="FF19" s="79"/>
      <c r="FG19" s="79"/>
      <c r="FH19" s="79"/>
      <c r="FI19" s="79"/>
      <c r="FJ19" s="79"/>
      <c r="FK19" s="79"/>
      <c r="FL19" s="79"/>
      <c r="FM19" s="79"/>
      <c r="FN19" s="79"/>
      <c r="FO19" s="79"/>
      <c r="FP19" s="79"/>
      <c r="FQ19" s="79"/>
      <c r="FR19" s="79"/>
      <c r="FS19" s="79"/>
      <c r="FT19" s="79"/>
      <c r="FU19" s="79"/>
      <c r="FV19" s="79"/>
      <c r="FW19" s="79"/>
      <c r="FX19" s="79"/>
      <c r="FY19" s="79"/>
      <c r="FZ19" s="79"/>
      <c r="GA19" s="79"/>
      <c r="GB19" s="79"/>
      <c r="GC19" s="79"/>
      <c r="GD19" s="79"/>
      <c r="GE19" s="79"/>
      <c r="GF19" s="79"/>
      <c r="GG19" s="79"/>
      <c r="GH19" s="79"/>
      <c r="GI19" s="79"/>
      <c r="GJ19" s="79"/>
      <c r="GK19" s="79"/>
      <c r="GL19" s="79"/>
      <c r="GM19" s="79"/>
      <c r="GN19" s="79"/>
      <c r="GO19" s="79"/>
      <c r="GP19" s="79"/>
      <c r="GQ19" s="79"/>
      <c r="GR19" s="79"/>
      <c r="GS19" s="79"/>
      <c r="GT19" s="79"/>
      <c r="GU19" s="79"/>
      <c r="GV19" s="79"/>
      <c r="GW19" s="79"/>
      <c r="GX19" s="79"/>
      <c r="GY19" s="79"/>
      <c r="GZ19" s="79"/>
      <c r="HA19" s="79"/>
      <c r="HB19" s="79"/>
      <c r="HC19" s="79"/>
      <c r="HD19" s="79"/>
      <c r="HE19" s="79"/>
      <c r="HF19" s="79"/>
      <c r="HG19" s="79"/>
      <c r="HH19" s="79"/>
      <c r="HI19" s="79"/>
      <c r="HJ19" s="79"/>
      <c r="HK19" s="79"/>
      <c r="HL19" s="79"/>
      <c r="HM19" s="79"/>
      <c r="HN19" s="79"/>
      <c r="HO19" s="79"/>
      <c r="HP19" s="79"/>
      <c r="HQ19" s="79"/>
      <c r="HR19" s="79"/>
      <c r="HS19" s="79"/>
      <c r="HT19" s="79"/>
      <c r="HU19" s="79"/>
      <c r="HV19" s="79"/>
      <c r="HW19" s="79"/>
      <c r="HX19" s="79"/>
      <c r="HY19" s="79"/>
      <c r="HZ19" s="79"/>
      <c r="IA19" s="79"/>
      <c r="IB19" s="79"/>
      <c r="IC19" s="79"/>
      <c r="ID19" s="79"/>
      <c r="IE19" s="79"/>
      <c r="IF19" s="79"/>
      <c r="IG19" s="79"/>
      <c r="IH19" s="79"/>
      <c r="II19" s="79"/>
      <c r="IJ19" s="79"/>
      <c r="IK19" s="79"/>
      <c r="IL19" s="79"/>
      <c r="IM19" s="79"/>
      <c r="IN19" s="79"/>
      <c r="IO19" s="79"/>
      <c r="IP19" s="79"/>
      <c r="IQ19" s="79"/>
      <c r="IR19" s="79"/>
      <c r="IS19" s="79"/>
      <c r="IT19" s="79"/>
      <c r="IU19" s="79"/>
      <c r="IV19" s="79"/>
      <c r="IW19" s="79"/>
    </row>
    <row r="20" customFormat="false" ht="15" hidden="false" customHeight="true" outlineLevel="0" collapsed="false">
      <c r="A20" s="118"/>
      <c r="B20" s="118"/>
      <c r="C20" s="118"/>
      <c r="D20" s="118"/>
      <c r="E20" s="118"/>
      <c r="F20" s="118"/>
      <c r="G20" s="118"/>
      <c r="H20" s="118"/>
      <c r="I20" s="79"/>
      <c r="J20" s="79"/>
      <c r="K20" s="79"/>
      <c r="L20" s="79"/>
      <c r="M20" s="64" t="s">
        <v>23</v>
      </c>
      <c r="N20" s="64"/>
      <c r="O20" s="64"/>
      <c r="P20" s="79"/>
      <c r="Q20" s="79"/>
      <c r="R20" s="79"/>
      <c r="S20" s="79"/>
      <c r="T20" s="118"/>
      <c r="U20" s="118"/>
      <c r="V20" s="119" t="s">
        <v>44</v>
      </c>
      <c r="W20" s="119"/>
      <c r="X20" s="119"/>
      <c r="Y20" s="119"/>
      <c r="Z20" s="119"/>
      <c r="AA20" s="119"/>
      <c r="AB20" s="118"/>
      <c r="AC20" s="118"/>
      <c r="AD20" s="120" t="n">
        <v>160</v>
      </c>
      <c r="AE20" s="120"/>
      <c r="AF20" s="120"/>
      <c r="AG20" s="120"/>
      <c r="AH20" s="120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  <c r="CU20" s="118"/>
      <c r="CV20" s="118"/>
      <c r="CW20" s="118"/>
      <c r="CX20" s="118"/>
      <c r="CY20" s="118"/>
      <c r="CZ20" s="118"/>
      <c r="DA20" s="118"/>
      <c r="DB20" s="118"/>
      <c r="DC20" s="118"/>
      <c r="DD20" s="118"/>
      <c r="DE20" s="118"/>
      <c r="DF20" s="118"/>
      <c r="DG20" s="118"/>
      <c r="DH20" s="118"/>
      <c r="DI20" s="118"/>
      <c r="DJ20" s="118"/>
      <c r="DK20" s="118"/>
      <c r="DL20" s="118"/>
      <c r="DM20" s="118"/>
      <c r="DN20" s="118"/>
      <c r="DO20" s="118"/>
      <c r="DP20" s="118"/>
      <c r="DQ20" s="118"/>
      <c r="DR20" s="118"/>
      <c r="DS20" s="118"/>
      <c r="DT20" s="118"/>
      <c r="DU20" s="118"/>
      <c r="DV20" s="118"/>
      <c r="DW20" s="118"/>
      <c r="DX20" s="118"/>
      <c r="DY20" s="118"/>
      <c r="DZ20" s="118"/>
      <c r="EA20" s="118"/>
      <c r="EB20" s="118"/>
      <c r="EC20" s="118"/>
      <c r="ED20" s="118"/>
      <c r="EE20" s="118"/>
      <c r="EF20" s="118"/>
      <c r="EG20" s="118"/>
      <c r="EH20" s="118"/>
      <c r="EI20" s="118"/>
      <c r="EJ20" s="118"/>
      <c r="EK20" s="118"/>
      <c r="EL20" s="118"/>
      <c r="EM20" s="118"/>
      <c r="EN20" s="118"/>
      <c r="EO20" s="118"/>
      <c r="EP20" s="118"/>
      <c r="EQ20" s="118"/>
      <c r="ER20" s="118"/>
      <c r="ES20" s="118"/>
      <c r="ET20" s="118"/>
      <c r="EU20" s="118"/>
      <c r="EV20" s="118"/>
      <c r="EW20" s="118"/>
      <c r="EX20" s="118"/>
      <c r="EY20" s="118"/>
      <c r="EZ20" s="118"/>
      <c r="FA20" s="118"/>
      <c r="FB20" s="118"/>
      <c r="FC20" s="118"/>
      <c r="FD20" s="118"/>
      <c r="FE20" s="118"/>
      <c r="FF20" s="118"/>
      <c r="FG20" s="118"/>
      <c r="FH20" s="118"/>
      <c r="FI20" s="118"/>
      <c r="FJ20" s="118"/>
      <c r="FK20" s="118"/>
      <c r="FL20" s="118"/>
      <c r="FM20" s="118"/>
      <c r="FN20" s="118"/>
      <c r="FO20" s="118"/>
      <c r="FP20" s="118"/>
      <c r="FQ20" s="118"/>
      <c r="FR20" s="118"/>
      <c r="FS20" s="118"/>
      <c r="FT20" s="118"/>
      <c r="FU20" s="118"/>
      <c r="FV20" s="118"/>
      <c r="FW20" s="118"/>
      <c r="FX20" s="118"/>
      <c r="FY20" s="118"/>
      <c r="FZ20" s="118"/>
      <c r="GA20" s="118"/>
      <c r="GB20" s="118"/>
      <c r="GC20" s="118"/>
      <c r="GD20" s="118"/>
      <c r="GE20" s="118"/>
      <c r="GF20" s="118"/>
      <c r="GG20" s="118"/>
      <c r="GH20" s="118"/>
      <c r="GI20" s="118"/>
      <c r="GJ20" s="118"/>
      <c r="GK20" s="118"/>
      <c r="GL20" s="118"/>
      <c r="GM20" s="118"/>
      <c r="GN20" s="118"/>
      <c r="GO20" s="118"/>
      <c r="GP20" s="118"/>
      <c r="GQ20" s="118"/>
      <c r="GR20" s="118"/>
      <c r="GS20" s="118"/>
      <c r="GT20" s="118"/>
      <c r="GU20" s="118"/>
      <c r="GV20" s="118"/>
      <c r="GW20" s="118"/>
      <c r="GX20" s="118"/>
      <c r="GY20" s="118"/>
      <c r="GZ20" s="118"/>
      <c r="HA20" s="118"/>
      <c r="HB20" s="118"/>
      <c r="HC20" s="118"/>
      <c r="HD20" s="118"/>
      <c r="HE20" s="118"/>
      <c r="HF20" s="118"/>
      <c r="HG20" s="118"/>
      <c r="HH20" s="118"/>
      <c r="HI20" s="118"/>
      <c r="HJ20" s="118"/>
      <c r="HK20" s="118"/>
      <c r="HL20" s="118"/>
      <c r="HM20" s="118"/>
      <c r="HN20" s="118"/>
      <c r="HO20" s="118"/>
      <c r="HP20" s="118"/>
      <c r="HQ20" s="118"/>
      <c r="HR20" s="118"/>
      <c r="HS20" s="118"/>
      <c r="HT20" s="118"/>
      <c r="HU20" s="118"/>
      <c r="HV20" s="118"/>
      <c r="HW20" s="118"/>
      <c r="HX20" s="118"/>
      <c r="HY20" s="118"/>
      <c r="HZ20" s="118"/>
      <c r="IA20" s="118"/>
      <c r="IB20" s="118"/>
      <c r="IC20" s="118"/>
      <c r="ID20" s="118"/>
      <c r="IE20" s="118"/>
      <c r="IF20" s="118"/>
      <c r="IG20" s="118"/>
      <c r="IH20" s="118"/>
      <c r="II20" s="118"/>
      <c r="IJ20" s="118"/>
      <c r="IK20" s="118"/>
      <c r="IL20" s="118"/>
      <c r="IM20" s="118"/>
      <c r="IN20" s="118"/>
      <c r="IO20" s="118"/>
      <c r="IP20" s="118"/>
      <c r="IQ20" s="118"/>
      <c r="IR20" s="118"/>
      <c r="IS20" s="118"/>
      <c r="IT20" s="118"/>
      <c r="IU20" s="118"/>
      <c r="IV20" s="118"/>
      <c r="IW20" s="118"/>
    </row>
    <row r="21" customFormat="false" ht="21.75" hidden="false" customHeight="false" outlineLevel="0" collapsed="false">
      <c r="A21" s="121" t="s">
        <v>45</v>
      </c>
      <c r="B21" s="122"/>
      <c r="C21" s="122"/>
      <c r="D21" s="122"/>
      <c r="E21" s="118"/>
      <c r="F21" s="118"/>
      <c r="G21" s="118"/>
      <c r="H21" s="118"/>
      <c r="I21" s="79"/>
      <c r="J21" s="79"/>
      <c r="K21" s="79"/>
      <c r="L21" s="79"/>
      <c r="M21" s="117" t="n">
        <f aca="false">E9+D14+C17</f>
        <v>3753.54</v>
      </c>
      <c r="N21" s="117" t="n">
        <f aca="false">F9+D14+C17</f>
        <v>5618.34</v>
      </c>
      <c r="O21" s="117" t="n">
        <f aca="false">G9+D14+C17</f>
        <v>6798.34</v>
      </c>
      <c r="P21" s="79"/>
      <c r="Q21" s="79"/>
      <c r="R21" s="79"/>
      <c r="S21" s="79"/>
      <c r="T21" s="118"/>
      <c r="U21" s="118"/>
      <c r="V21" s="119"/>
      <c r="W21" s="119"/>
      <c r="X21" s="119"/>
      <c r="Y21" s="119"/>
      <c r="Z21" s="119"/>
      <c r="AA21" s="119"/>
      <c r="AB21" s="118"/>
      <c r="AC21" s="118"/>
      <c r="AD21" s="120"/>
      <c r="AE21" s="120"/>
      <c r="AF21" s="120"/>
      <c r="AG21" s="120"/>
      <c r="AH21" s="120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  <c r="CU21" s="118"/>
      <c r="CV21" s="118"/>
      <c r="CW21" s="118"/>
      <c r="CX21" s="118"/>
      <c r="CY21" s="118"/>
      <c r="CZ21" s="118"/>
      <c r="DA21" s="118"/>
      <c r="DB21" s="118"/>
      <c r="DC21" s="118"/>
      <c r="DD21" s="118"/>
      <c r="DE21" s="118"/>
      <c r="DF21" s="118"/>
      <c r="DG21" s="118"/>
      <c r="DH21" s="118"/>
      <c r="DI21" s="118"/>
      <c r="DJ21" s="118"/>
      <c r="DK21" s="118"/>
      <c r="DL21" s="118"/>
      <c r="DM21" s="118"/>
      <c r="DN21" s="118"/>
      <c r="DO21" s="118"/>
      <c r="DP21" s="118"/>
      <c r="DQ21" s="118"/>
      <c r="DR21" s="118"/>
      <c r="DS21" s="118"/>
      <c r="DT21" s="118"/>
      <c r="DU21" s="118"/>
      <c r="DV21" s="118"/>
      <c r="DW21" s="118"/>
      <c r="DX21" s="118"/>
      <c r="DY21" s="118"/>
      <c r="DZ21" s="118"/>
      <c r="EA21" s="118"/>
      <c r="EB21" s="118"/>
      <c r="EC21" s="118"/>
      <c r="ED21" s="118"/>
      <c r="EE21" s="118"/>
      <c r="EF21" s="118"/>
      <c r="EG21" s="118"/>
      <c r="EH21" s="118"/>
      <c r="EI21" s="118"/>
      <c r="EJ21" s="118"/>
      <c r="EK21" s="118"/>
      <c r="EL21" s="118"/>
      <c r="EM21" s="118"/>
      <c r="EN21" s="118"/>
      <c r="EO21" s="118"/>
      <c r="EP21" s="118"/>
      <c r="EQ21" s="118"/>
      <c r="ER21" s="118"/>
      <c r="ES21" s="118"/>
      <c r="ET21" s="118"/>
      <c r="EU21" s="118"/>
      <c r="EV21" s="118"/>
      <c r="EW21" s="118"/>
      <c r="EX21" s="118"/>
      <c r="EY21" s="118"/>
      <c r="EZ21" s="118"/>
      <c r="FA21" s="118"/>
      <c r="FB21" s="118"/>
      <c r="FC21" s="118"/>
      <c r="FD21" s="118"/>
      <c r="FE21" s="118"/>
      <c r="FF21" s="118"/>
      <c r="FG21" s="118"/>
      <c r="FH21" s="118"/>
      <c r="FI21" s="118"/>
      <c r="FJ21" s="118"/>
      <c r="FK21" s="118"/>
      <c r="FL21" s="118"/>
      <c r="FM21" s="118"/>
      <c r="FN21" s="118"/>
      <c r="FO21" s="118"/>
      <c r="FP21" s="118"/>
      <c r="FQ21" s="118"/>
      <c r="FR21" s="118"/>
      <c r="FS21" s="118"/>
      <c r="FT21" s="118"/>
      <c r="FU21" s="118"/>
      <c r="FV21" s="118"/>
      <c r="FW21" s="118"/>
      <c r="FX21" s="118"/>
      <c r="FY21" s="118"/>
      <c r="FZ21" s="118"/>
      <c r="GA21" s="118"/>
      <c r="GB21" s="118"/>
      <c r="GC21" s="118"/>
      <c r="GD21" s="118"/>
      <c r="GE21" s="118"/>
      <c r="GF21" s="118"/>
      <c r="GG21" s="118"/>
      <c r="GH21" s="118"/>
      <c r="GI21" s="118"/>
      <c r="GJ21" s="118"/>
      <c r="GK21" s="118"/>
      <c r="GL21" s="118"/>
      <c r="GM21" s="118"/>
      <c r="GN21" s="118"/>
      <c r="GO21" s="118"/>
      <c r="GP21" s="118"/>
      <c r="GQ21" s="118"/>
      <c r="GR21" s="118"/>
      <c r="GS21" s="118"/>
      <c r="GT21" s="118"/>
      <c r="GU21" s="118"/>
      <c r="GV21" s="118"/>
      <c r="GW21" s="118"/>
      <c r="GX21" s="118"/>
      <c r="GY21" s="118"/>
      <c r="GZ21" s="118"/>
      <c r="HA21" s="118"/>
      <c r="HB21" s="118"/>
      <c r="HC21" s="118"/>
      <c r="HD21" s="118"/>
      <c r="HE21" s="118"/>
      <c r="HF21" s="118"/>
      <c r="HG21" s="118"/>
      <c r="HH21" s="118"/>
      <c r="HI21" s="118"/>
      <c r="HJ21" s="118"/>
      <c r="HK21" s="118"/>
      <c r="HL21" s="118"/>
      <c r="HM21" s="118"/>
      <c r="HN21" s="118"/>
      <c r="HO21" s="118"/>
      <c r="HP21" s="118"/>
      <c r="HQ21" s="118"/>
      <c r="HR21" s="118"/>
      <c r="HS21" s="118"/>
      <c r="HT21" s="118"/>
      <c r="HU21" s="118"/>
      <c r="HV21" s="118"/>
      <c r="HW21" s="118"/>
      <c r="HX21" s="118"/>
      <c r="HY21" s="118"/>
      <c r="HZ21" s="118"/>
      <c r="IA21" s="118"/>
      <c r="IB21" s="118"/>
      <c r="IC21" s="118"/>
      <c r="ID21" s="118"/>
      <c r="IE21" s="118"/>
      <c r="IF21" s="118"/>
      <c r="IG21" s="118"/>
      <c r="IH21" s="118"/>
      <c r="II21" s="118"/>
      <c r="IJ21" s="118"/>
      <c r="IK21" s="118"/>
      <c r="IL21" s="118"/>
      <c r="IM21" s="118"/>
      <c r="IN21" s="118"/>
      <c r="IO21" s="118"/>
      <c r="IP21" s="118"/>
      <c r="IQ21" s="118"/>
      <c r="IR21" s="118"/>
      <c r="IS21" s="118"/>
      <c r="IT21" s="118"/>
      <c r="IU21" s="118"/>
      <c r="IV21" s="118"/>
      <c r="IW21" s="118"/>
    </row>
    <row r="22" customFormat="false" ht="15.75" hidden="false" customHeight="false" outlineLevel="0" collapsed="false">
      <c r="A22" s="118"/>
      <c r="B22" s="118"/>
      <c r="C22" s="118"/>
      <c r="D22" s="118"/>
      <c r="E22" s="118"/>
      <c r="F22" s="118"/>
      <c r="G22" s="118"/>
      <c r="H22" s="118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118"/>
      <c r="U22" s="118"/>
      <c r="V22" s="119"/>
      <c r="W22" s="119"/>
      <c r="X22" s="119"/>
      <c r="Y22" s="119"/>
      <c r="Z22" s="119"/>
      <c r="AA22" s="119"/>
      <c r="AB22" s="118"/>
      <c r="AC22" s="118"/>
      <c r="AD22" s="120"/>
      <c r="AE22" s="120"/>
      <c r="AF22" s="120"/>
      <c r="AG22" s="120"/>
      <c r="AH22" s="120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  <c r="CU22" s="118"/>
      <c r="CV22" s="118"/>
      <c r="CW22" s="118"/>
      <c r="CX22" s="118"/>
      <c r="CY22" s="118"/>
      <c r="CZ22" s="118"/>
      <c r="DA22" s="118"/>
      <c r="DB22" s="118"/>
      <c r="DC22" s="118"/>
      <c r="DD22" s="118"/>
      <c r="DE22" s="118"/>
      <c r="DF22" s="118"/>
      <c r="DG22" s="118"/>
      <c r="DH22" s="118"/>
      <c r="DI22" s="118"/>
      <c r="DJ22" s="118"/>
      <c r="DK22" s="118"/>
      <c r="DL22" s="118"/>
      <c r="DM22" s="118"/>
      <c r="DN22" s="118"/>
      <c r="DO22" s="118"/>
      <c r="DP22" s="118"/>
      <c r="DQ22" s="118"/>
      <c r="DR22" s="118"/>
      <c r="DS22" s="118"/>
      <c r="DT22" s="118"/>
      <c r="DU22" s="118"/>
      <c r="DV22" s="118"/>
      <c r="DW22" s="118"/>
      <c r="DX22" s="118"/>
      <c r="DY22" s="118"/>
      <c r="DZ22" s="118"/>
      <c r="EA22" s="118"/>
      <c r="EB22" s="118"/>
      <c r="EC22" s="118"/>
      <c r="ED22" s="118"/>
      <c r="EE22" s="118"/>
      <c r="EF22" s="118"/>
      <c r="EG22" s="118"/>
      <c r="EH22" s="118"/>
      <c r="EI22" s="118"/>
      <c r="EJ22" s="118"/>
      <c r="EK22" s="118"/>
      <c r="EL22" s="118"/>
      <c r="EM22" s="118"/>
      <c r="EN22" s="118"/>
      <c r="EO22" s="118"/>
      <c r="EP22" s="118"/>
      <c r="EQ22" s="118"/>
      <c r="ER22" s="118"/>
      <c r="ES22" s="118"/>
      <c r="ET22" s="118"/>
      <c r="EU22" s="118"/>
      <c r="EV22" s="118"/>
      <c r="EW22" s="118"/>
      <c r="EX22" s="118"/>
      <c r="EY22" s="118"/>
      <c r="EZ22" s="118"/>
      <c r="FA22" s="118"/>
      <c r="FB22" s="118"/>
      <c r="FC22" s="118"/>
      <c r="FD22" s="118"/>
      <c r="FE22" s="118"/>
      <c r="FF22" s="118"/>
      <c r="FG22" s="118"/>
      <c r="FH22" s="118"/>
      <c r="FI22" s="118"/>
      <c r="FJ22" s="118"/>
      <c r="FK22" s="118"/>
      <c r="FL22" s="118"/>
      <c r="FM22" s="118"/>
      <c r="FN22" s="118"/>
      <c r="FO22" s="118"/>
      <c r="FP22" s="118"/>
      <c r="FQ22" s="118"/>
      <c r="FR22" s="118"/>
      <c r="FS22" s="118"/>
      <c r="FT22" s="118"/>
      <c r="FU22" s="118"/>
      <c r="FV22" s="118"/>
      <c r="FW22" s="118"/>
      <c r="FX22" s="118"/>
      <c r="FY22" s="118"/>
      <c r="FZ22" s="118"/>
      <c r="GA22" s="118"/>
      <c r="GB22" s="118"/>
      <c r="GC22" s="118"/>
      <c r="GD22" s="118"/>
      <c r="GE22" s="118"/>
      <c r="GF22" s="118"/>
      <c r="GG22" s="118"/>
      <c r="GH22" s="118"/>
      <c r="GI22" s="118"/>
      <c r="GJ22" s="118"/>
      <c r="GK22" s="118"/>
      <c r="GL22" s="118"/>
      <c r="GM22" s="118"/>
      <c r="GN22" s="118"/>
      <c r="GO22" s="118"/>
      <c r="GP22" s="118"/>
      <c r="GQ22" s="118"/>
      <c r="GR22" s="118"/>
      <c r="GS22" s="118"/>
      <c r="GT22" s="118"/>
      <c r="GU22" s="118"/>
      <c r="GV22" s="118"/>
      <c r="GW22" s="118"/>
      <c r="GX22" s="118"/>
      <c r="GY22" s="118"/>
      <c r="GZ22" s="118"/>
      <c r="HA22" s="118"/>
      <c r="HB22" s="118"/>
      <c r="HC22" s="118"/>
      <c r="HD22" s="118"/>
      <c r="HE22" s="118"/>
      <c r="HF22" s="118"/>
      <c r="HG22" s="118"/>
      <c r="HH22" s="118"/>
      <c r="HI22" s="118"/>
      <c r="HJ22" s="118"/>
      <c r="HK22" s="118"/>
      <c r="HL22" s="118"/>
      <c r="HM22" s="118"/>
      <c r="HN22" s="118"/>
      <c r="HO22" s="118"/>
      <c r="HP22" s="118"/>
      <c r="HQ22" s="118"/>
      <c r="HR22" s="118"/>
      <c r="HS22" s="118"/>
      <c r="HT22" s="118"/>
      <c r="HU22" s="118"/>
      <c r="HV22" s="118"/>
      <c r="HW22" s="118"/>
      <c r="HX22" s="118"/>
      <c r="HY22" s="118"/>
      <c r="HZ22" s="118"/>
      <c r="IA22" s="118"/>
      <c r="IB22" s="118"/>
      <c r="IC22" s="118"/>
      <c r="ID22" s="118"/>
      <c r="IE22" s="118"/>
      <c r="IF22" s="118"/>
      <c r="IG22" s="118"/>
      <c r="IH22" s="118"/>
      <c r="II22" s="118"/>
      <c r="IJ22" s="118"/>
      <c r="IK22" s="118"/>
      <c r="IL22" s="118"/>
      <c r="IM22" s="118"/>
      <c r="IN22" s="118"/>
      <c r="IO22" s="118"/>
      <c r="IP22" s="118"/>
      <c r="IQ22" s="118"/>
      <c r="IR22" s="118"/>
      <c r="IS22" s="118"/>
      <c r="IT22" s="118"/>
      <c r="IU22" s="118"/>
      <c r="IV22" s="118"/>
      <c r="IW22" s="118"/>
    </row>
    <row r="23" customFormat="false" ht="21" hidden="false" customHeight="false" outlineLevel="0" collapsed="false">
      <c r="A23" s="123" t="s">
        <v>46</v>
      </c>
      <c r="B23" s="122"/>
      <c r="C23" s="122"/>
      <c r="D23" s="122"/>
      <c r="E23" s="122"/>
      <c r="F23" s="122"/>
      <c r="G23" s="118"/>
      <c r="H23" s="118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  <c r="CU23" s="118"/>
      <c r="CV23" s="118"/>
      <c r="CW23" s="118"/>
      <c r="CX23" s="118"/>
      <c r="CY23" s="118"/>
      <c r="CZ23" s="118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8"/>
      <c r="DL23" s="118"/>
      <c r="DM23" s="118"/>
      <c r="DN23" s="118"/>
      <c r="DO23" s="118"/>
      <c r="DP23" s="118"/>
      <c r="DQ23" s="118"/>
      <c r="DR23" s="118"/>
      <c r="DS23" s="118"/>
      <c r="DT23" s="118"/>
      <c r="DU23" s="118"/>
      <c r="DV23" s="118"/>
      <c r="DW23" s="118"/>
      <c r="DX23" s="118"/>
      <c r="DY23" s="118"/>
      <c r="DZ23" s="118"/>
      <c r="EA23" s="118"/>
      <c r="EB23" s="118"/>
      <c r="EC23" s="118"/>
      <c r="ED23" s="118"/>
      <c r="EE23" s="118"/>
      <c r="EF23" s="118"/>
      <c r="EG23" s="118"/>
      <c r="EH23" s="118"/>
      <c r="EI23" s="118"/>
      <c r="EJ23" s="118"/>
      <c r="EK23" s="118"/>
      <c r="EL23" s="118"/>
      <c r="EM23" s="118"/>
      <c r="EN23" s="118"/>
      <c r="EO23" s="118"/>
      <c r="EP23" s="118"/>
      <c r="EQ23" s="118"/>
      <c r="ER23" s="118"/>
      <c r="ES23" s="118"/>
      <c r="ET23" s="118"/>
      <c r="EU23" s="118"/>
      <c r="EV23" s="118"/>
      <c r="EW23" s="118"/>
      <c r="EX23" s="118"/>
      <c r="EY23" s="118"/>
      <c r="EZ23" s="118"/>
      <c r="FA23" s="118"/>
      <c r="FB23" s="118"/>
      <c r="FC23" s="118"/>
      <c r="FD23" s="118"/>
      <c r="FE23" s="118"/>
      <c r="FF23" s="118"/>
      <c r="FG23" s="118"/>
      <c r="FH23" s="118"/>
      <c r="FI23" s="118"/>
      <c r="FJ23" s="118"/>
      <c r="FK23" s="118"/>
      <c r="FL23" s="118"/>
      <c r="FM23" s="118"/>
      <c r="FN23" s="118"/>
      <c r="FO23" s="118"/>
      <c r="FP23" s="118"/>
      <c r="FQ23" s="118"/>
      <c r="FR23" s="118"/>
      <c r="FS23" s="118"/>
      <c r="FT23" s="118"/>
      <c r="FU23" s="118"/>
      <c r="FV23" s="118"/>
      <c r="FW23" s="118"/>
      <c r="FX23" s="118"/>
      <c r="FY23" s="118"/>
      <c r="FZ23" s="118"/>
      <c r="GA23" s="118"/>
      <c r="GB23" s="118"/>
      <c r="GC23" s="118"/>
      <c r="GD23" s="118"/>
      <c r="GE23" s="118"/>
      <c r="GF23" s="118"/>
      <c r="GG23" s="118"/>
      <c r="GH23" s="118"/>
      <c r="GI23" s="118"/>
      <c r="GJ23" s="118"/>
      <c r="GK23" s="118"/>
      <c r="GL23" s="118"/>
      <c r="GM23" s="118"/>
      <c r="GN23" s="118"/>
      <c r="GO23" s="118"/>
      <c r="GP23" s="118"/>
      <c r="GQ23" s="118"/>
      <c r="GR23" s="118"/>
      <c r="GS23" s="118"/>
      <c r="GT23" s="118"/>
      <c r="GU23" s="118"/>
      <c r="GV23" s="118"/>
      <c r="GW23" s="118"/>
      <c r="GX23" s="118"/>
      <c r="GY23" s="118"/>
      <c r="GZ23" s="118"/>
      <c r="HA23" s="118"/>
      <c r="HB23" s="118"/>
      <c r="HC23" s="118"/>
      <c r="HD23" s="118"/>
      <c r="HE23" s="118"/>
      <c r="HF23" s="118"/>
      <c r="HG23" s="118"/>
      <c r="HH23" s="118"/>
      <c r="HI23" s="118"/>
      <c r="HJ23" s="118"/>
      <c r="HK23" s="118"/>
      <c r="HL23" s="118"/>
      <c r="HM23" s="118"/>
      <c r="HN23" s="118"/>
      <c r="HO23" s="118"/>
      <c r="HP23" s="118"/>
      <c r="HQ23" s="118"/>
      <c r="HR23" s="118"/>
      <c r="HS23" s="118"/>
      <c r="HT23" s="118"/>
      <c r="HU23" s="118"/>
      <c r="HV23" s="118"/>
      <c r="HW23" s="118"/>
      <c r="HX23" s="118"/>
      <c r="HY23" s="118"/>
      <c r="HZ23" s="118"/>
      <c r="IA23" s="118"/>
      <c r="IB23" s="118"/>
      <c r="IC23" s="118"/>
      <c r="ID23" s="118"/>
      <c r="IE23" s="118"/>
      <c r="IF23" s="118"/>
      <c r="IG23" s="118"/>
      <c r="IH23" s="118"/>
      <c r="II23" s="118"/>
      <c r="IJ23" s="118"/>
      <c r="IK23" s="118"/>
      <c r="IL23" s="118"/>
      <c r="IM23" s="118"/>
      <c r="IN23" s="118"/>
      <c r="IO23" s="118"/>
      <c r="IP23" s="118"/>
      <c r="IQ23" s="118"/>
      <c r="IR23" s="118"/>
      <c r="IS23" s="118"/>
      <c r="IT23" s="118"/>
      <c r="IU23" s="118"/>
      <c r="IV23" s="118"/>
      <c r="IW23" s="118"/>
    </row>
    <row r="24" customFormat="false" ht="15" hidden="false" customHeight="false" outlineLevel="0" collapsed="false">
      <c r="A24" s="118"/>
      <c r="B24" s="118"/>
      <c r="C24" s="118"/>
      <c r="D24" s="118"/>
      <c r="E24" s="118"/>
      <c r="F24" s="118"/>
      <c r="G24" s="118"/>
      <c r="H24" s="118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18"/>
      <c r="DK24" s="118"/>
      <c r="DL24" s="118"/>
      <c r="DM24" s="118"/>
      <c r="DN24" s="118"/>
      <c r="DO24" s="118"/>
      <c r="DP24" s="118"/>
      <c r="DQ24" s="118"/>
      <c r="DR24" s="118"/>
      <c r="DS24" s="118"/>
      <c r="DT24" s="118"/>
      <c r="DU24" s="118"/>
      <c r="DV24" s="118"/>
      <c r="DW24" s="118"/>
      <c r="DX24" s="118"/>
      <c r="DY24" s="118"/>
      <c r="DZ24" s="118"/>
      <c r="EA24" s="118"/>
      <c r="EB24" s="118"/>
      <c r="EC24" s="118"/>
      <c r="ED24" s="118"/>
      <c r="EE24" s="118"/>
      <c r="EF24" s="118"/>
      <c r="EG24" s="118"/>
      <c r="EH24" s="118"/>
      <c r="EI24" s="118"/>
      <c r="EJ24" s="118"/>
      <c r="EK24" s="118"/>
      <c r="EL24" s="118"/>
      <c r="EM24" s="118"/>
      <c r="EN24" s="118"/>
      <c r="EO24" s="118"/>
      <c r="EP24" s="118"/>
      <c r="EQ24" s="118"/>
      <c r="ER24" s="118"/>
      <c r="ES24" s="118"/>
      <c r="ET24" s="118"/>
      <c r="EU24" s="118"/>
      <c r="EV24" s="118"/>
      <c r="EW24" s="118"/>
      <c r="EX24" s="118"/>
      <c r="EY24" s="118"/>
      <c r="EZ24" s="118"/>
      <c r="FA24" s="118"/>
      <c r="FB24" s="118"/>
      <c r="FC24" s="118"/>
      <c r="FD24" s="118"/>
      <c r="FE24" s="118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118"/>
      <c r="GL24" s="118"/>
      <c r="GM24" s="118"/>
      <c r="GN24" s="118"/>
      <c r="GO24" s="118"/>
      <c r="GP24" s="118"/>
      <c r="GQ24" s="118"/>
      <c r="GR24" s="118"/>
      <c r="GS24" s="118"/>
      <c r="GT24" s="118"/>
      <c r="GU24" s="118"/>
      <c r="GV24" s="118"/>
      <c r="GW24" s="118"/>
      <c r="GX24" s="118"/>
      <c r="GY24" s="118"/>
      <c r="GZ24" s="118"/>
      <c r="HA24" s="118"/>
      <c r="HB24" s="118"/>
      <c r="HC24" s="118"/>
      <c r="HD24" s="118"/>
      <c r="HE24" s="118"/>
      <c r="HF24" s="118"/>
      <c r="HG24" s="118"/>
      <c r="HH24" s="118"/>
      <c r="HI24" s="118"/>
      <c r="HJ24" s="118"/>
      <c r="HK24" s="118"/>
      <c r="HL24" s="118"/>
      <c r="HM24" s="118"/>
      <c r="HN24" s="118"/>
      <c r="HO24" s="118"/>
      <c r="HP24" s="118"/>
      <c r="HQ24" s="118"/>
      <c r="HR24" s="118"/>
      <c r="HS24" s="118"/>
      <c r="HT24" s="118"/>
      <c r="HU24" s="118"/>
      <c r="HV24" s="118"/>
      <c r="HW24" s="118"/>
      <c r="HX24" s="118"/>
      <c r="HY24" s="118"/>
      <c r="HZ24" s="118"/>
      <c r="IA24" s="118"/>
      <c r="IB24" s="118"/>
      <c r="IC24" s="118"/>
      <c r="ID24" s="118"/>
      <c r="IE24" s="118"/>
      <c r="IF24" s="118"/>
      <c r="IG24" s="118"/>
      <c r="IH24" s="118"/>
      <c r="II24" s="118"/>
      <c r="IJ24" s="118"/>
      <c r="IK24" s="118"/>
      <c r="IL24" s="118"/>
      <c r="IM24" s="118"/>
      <c r="IN24" s="118"/>
      <c r="IO24" s="118"/>
      <c r="IP24" s="118"/>
      <c r="IQ24" s="118"/>
      <c r="IR24" s="118"/>
      <c r="IS24" s="118"/>
      <c r="IT24" s="118"/>
      <c r="IU24" s="118"/>
      <c r="IV24" s="118"/>
      <c r="IW24" s="118"/>
    </row>
    <row r="25" customFormat="false" ht="21" hidden="false" customHeight="false" outlineLevel="0" collapsed="false">
      <c r="A25" s="123" t="s">
        <v>47</v>
      </c>
      <c r="B25" s="122"/>
      <c r="C25" s="122"/>
      <c r="D25" s="122"/>
      <c r="E25" s="122"/>
      <c r="F25" s="122"/>
      <c r="G25" s="118"/>
      <c r="H25" s="118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  <c r="CS25" s="118"/>
      <c r="CT25" s="118"/>
      <c r="CU25" s="118"/>
      <c r="CV25" s="118"/>
      <c r="CW25" s="118"/>
      <c r="CX25" s="118"/>
      <c r="CY25" s="118"/>
      <c r="CZ25" s="118"/>
      <c r="DA25" s="118"/>
      <c r="DB25" s="118"/>
      <c r="DC25" s="118"/>
      <c r="DD25" s="118"/>
      <c r="DE25" s="118"/>
      <c r="DF25" s="118"/>
      <c r="DG25" s="118"/>
      <c r="DH25" s="118"/>
      <c r="DI25" s="118"/>
      <c r="DJ25" s="118"/>
      <c r="DK25" s="118"/>
      <c r="DL25" s="118"/>
      <c r="DM25" s="118"/>
      <c r="DN25" s="118"/>
      <c r="DO25" s="118"/>
      <c r="DP25" s="118"/>
      <c r="DQ25" s="118"/>
      <c r="DR25" s="118"/>
      <c r="DS25" s="118"/>
      <c r="DT25" s="118"/>
      <c r="DU25" s="118"/>
      <c r="DV25" s="118"/>
      <c r="DW25" s="118"/>
      <c r="DX25" s="118"/>
      <c r="DY25" s="118"/>
      <c r="DZ25" s="118"/>
      <c r="EA25" s="118"/>
      <c r="EB25" s="118"/>
      <c r="EC25" s="118"/>
      <c r="ED25" s="118"/>
      <c r="EE25" s="118"/>
      <c r="EF25" s="118"/>
      <c r="EG25" s="118"/>
      <c r="EH25" s="118"/>
      <c r="EI25" s="118"/>
      <c r="EJ25" s="118"/>
      <c r="EK25" s="118"/>
      <c r="EL25" s="118"/>
      <c r="EM25" s="118"/>
      <c r="EN25" s="118"/>
      <c r="EO25" s="118"/>
      <c r="EP25" s="118"/>
      <c r="EQ25" s="118"/>
      <c r="ER25" s="118"/>
      <c r="ES25" s="118"/>
      <c r="ET25" s="118"/>
      <c r="EU25" s="118"/>
      <c r="EV25" s="118"/>
      <c r="EW25" s="118"/>
      <c r="EX25" s="118"/>
      <c r="EY25" s="118"/>
      <c r="EZ25" s="118"/>
      <c r="FA25" s="118"/>
      <c r="FB25" s="118"/>
      <c r="FC25" s="118"/>
      <c r="FD25" s="118"/>
      <c r="FE25" s="118"/>
      <c r="FF25" s="118"/>
      <c r="FG25" s="118"/>
      <c r="FH25" s="118"/>
      <c r="FI25" s="118"/>
      <c r="FJ25" s="118"/>
      <c r="FK25" s="118"/>
      <c r="FL25" s="118"/>
      <c r="FM25" s="118"/>
      <c r="FN25" s="118"/>
      <c r="FO25" s="118"/>
      <c r="FP25" s="118"/>
      <c r="FQ25" s="118"/>
      <c r="FR25" s="118"/>
      <c r="FS25" s="118"/>
      <c r="FT25" s="118"/>
      <c r="FU25" s="118"/>
      <c r="FV25" s="118"/>
      <c r="FW25" s="118"/>
      <c r="FX25" s="118"/>
      <c r="FY25" s="118"/>
      <c r="FZ25" s="118"/>
      <c r="GA25" s="118"/>
      <c r="GB25" s="118"/>
      <c r="GC25" s="118"/>
      <c r="GD25" s="118"/>
      <c r="GE25" s="118"/>
      <c r="GF25" s="118"/>
      <c r="GG25" s="118"/>
      <c r="GH25" s="118"/>
      <c r="GI25" s="118"/>
      <c r="GJ25" s="118"/>
      <c r="GK25" s="118"/>
      <c r="GL25" s="118"/>
      <c r="GM25" s="118"/>
      <c r="GN25" s="118"/>
      <c r="GO25" s="118"/>
      <c r="GP25" s="118"/>
      <c r="GQ25" s="118"/>
      <c r="GR25" s="118"/>
      <c r="GS25" s="118"/>
      <c r="GT25" s="118"/>
      <c r="GU25" s="118"/>
      <c r="GV25" s="118"/>
      <c r="GW25" s="118"/>
      <c r="GX25" s="118"/>
      <c r="GY25" s="118"/>
      <c r="GZ25" s="118"/>
      <c r="HA25" s="118"/>
      <c r="HB25" s="118"/>
      <c r="HC25" s="118"/>
      <c r="HD25" s="118"/>
      <c r="HE25" s="118"/>
      <c r="HF25" s="118"/>
      <c r="HG25" s="118"/>
      <c r="HH25" s="118"/>
      <c r="HI25" s="118"/>
      <c r="HJ25" s="118"/>
      <c r="HK25" s="118"/>
      <c r="HL25" s="118"/>
      <c r="HM25" s="118"/>
      <c r="HN25" s="118"/>
      <c r="HO25" s="118"/>
      <c r="HP25" s="118"/>
      <c r="HQ25" s="118"/>
      <c r="HR25" s="118"/>
      <c r="HS25" s="118"/>
      <c r="HT25" s="118"/>
      <c r="HU25" s="118"/>
      <c r="HV25" s="118"/>
      <c r="HW25" s="118"/>
      <c r="HX25" s="118"/>
      <c r="HY25" s="118"/>
      <c r="HZ25" s="118"/>
      <c r="IA25" s="118"/>
      <c r="IB25" s="118"/>
      <c r="IC25" s="118"/>
      <c r="ID25" s="118"/>
      <c r="IE25" s="118"/>
      <c r="IF25" s="118"/>
      <c r="IG25" s="118"/>
      <c r="IH25" s="118"/>
      <c r="II25" s="118"/>
      <c r="IJ25" s="118"/>
      <c r="IK25" s="118"/>
      <c r="IL25" s="118"/>
      <c r="IM25" s="118"/>
      <c r="IN25" s="118"/>
      <c r="IO25" s="118"/>
      <c r="IP25" s="118"/>
      <c r="IQ25" s="118"/>
      <c r="IR25" s="118"/>
      <c r="IS25" s="118"/>
      <c r="IT25" s="118"/>
      <c r="IU25" s="118"/>
      <c r="IV25" s="118"/>
      <c r="IW25" s="118"/>
    </row>
    <row r="26" customFormat="false" ht="15" hidden="false" customHeight="false" outlineLevel="0" collapsed="false">
      <c r="A26" s="118"/>
      <c r="B26" s="118"/>
      <c r="C26" s="118"/>
      <c r="D26" s="118"/>
      <c r="E26" s="118"/>
      <c r="F26" s="118"/>
      <c r="G26" s="118"/>
      <c r="H26" s="118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18"/>
      <c r="CK26" s="118"/>
      <c r="CL26" s="118"/>
      <c r="CM26" s="118"/>
      <c r="CN26" s="118"/>
      <c r="CO26" s="118"/>
      <c r="CP26" s="118"/>
      <c r="CQ26" s="118"/>
      <c r="CR26" s="118"/>
      <c r="CS26" s="118"/>
      <c r="CT26" s="118"/>
      <c r="CU26" s="118"/>
      <c r="CV26" s="118"/>
      <c r="CW26" s="118"/>
      <c r="CX26" s="118"/>
      <c r="CY26" s="118"/>
      <c r="CZ26" s="118"/>
      <c r="DA26" s="118"/>
      <c r="DB26" s="118"/>
      <c r="DC26" s="118"/>
      <c r="DD26" s="118"/>
      <c r="DE26" s="118"/>
      <c r="DF26" s="118"/>
      <c r="DG26" s="118"/>
      <c r="DH26" s="118"/>
      <c r="DI26" s="118"/>
      <c r="DJ26" s="118"/>
      <c r="DK26" s="118"/>
      <c r="DL26" s="118"/>
      <c r="DM26" s="118"/>
      <c r="DN26" s="118"/>
      <c r="DO26" s="118"/>
      <c r="DP26" s="118"/>
      <c r="DQ26" s="118"/>
      <c r="DR26" s="118"/>
      <c r="DS26" s="118"/>
      <c r="DT26" s="118"/>
      <c r="DU26" s="118"/>
      <c r="DV26" s="118"/>
      <c r="DW26" s="118"/>
      <c r="DX26" s="118"/>
      <c r="DY26" s="118"/>
      <c r="DZ26" s="118"/>
      <c r="EA26" s="118"/>
      <c r="EB26" s="118"/>
      <c r="EC26" s="118"/>
      <c r="ED26" s="118"/>
      <c r="EE26" s="118"/>
      <c r="EF26" s="118"/>
      <c r="EG26" s="118"/>
      <c r="EH26" s="118"/>
      <c r="EI26" s="118"/>
      <c r="EJ26" s="118"/>
      <c r="EK26" s="118"/>
      <c r="EL26" s="118"/>
      <c r="EM26" s="118"/>
      <c r="EN26" s="118"/>
      <c r="EO26" s="118"/>
      <c r="EP26" s="118"/>
      <c r="EQ26" s="118"/>
      <c r="ER26" s="118"/>
      <c r="ES26" s="118"/>
      <c r="ET26" s="118"/>
      <c r="EU26" s="118"/>
      <c r="EV26" s="118"/>
      <c r="EW26" s="118"/>
      <c r="EX26" s="118"/>
      <c r="EY26" s="118"/>
      <c r="EZ26" s="118"/>
      <c r="FA26" s="118"/>
      <c r="FB26" s="118"/>
      <c r="FC26" s="118"/>
      <c r="FD26" s="118"/>
      <c r="FE26" s="118"/>
      <c r="FF26" s="118"/>
      <c r="FG26" s="118"/>
      <c r="FH26" s="118"/>
      <c r="FI26" s="118"/>
      <c r="FJ26" s="118"/>
      <c r="FK26" s="118"/>
      <c r="FL26" s="118"/>
      <c r="FM26" s="118"/>
      <c r="FN26" s="118"/>
      <c r="FO26" s="118"/>
      <c r="FP26" s="118"/>
      <c r="FQ26" s="118"/>
      <c r="FR26" s="118"/>
      <c r="FS26" s="118"/>
      <c r="FT26" s="118"/>
      <c r="FU26" s="118"/>
      <c r="FV26" s="118"/>
      <c r="FW26" s="118"/>
      <c r="FX26" s="118"/>
      <c r="FY26" s="118"/>
      <c r="FZ26" s="118"/>
      <c r="GA26" s="118"/>
      <c r="GB26" s="118"/>
      <c r="GC26" s="118"/>
      <c r="GD26" s="118"/>
      <c r="GE26" s="118"/>
      <c r="GF26" s="118"/>
      <c r="GG26" s="118"/>
      <c r="GH26" s="118"/>
      <c r="GI26" s="118"/>
      <c r="GJ26" s="118"/>
      <c r="GK26" s="118"/>
      <c r="GL26" s="118"/>
      <c r="GM26" s="118"/>
      <c r="GN26" s="118"/>
      <c r="GO26" s="118"/>
      <c r="GP26" s="118"/>
      <c r="GQ26" s="118"/>
      <c r="GR26" s="118"/>
      <c r="GS26" s="118"/>
      <c r="GT26" s="118"/>
      <c r="GU26" s="118"/>
      <c r="GV26" s="118"/>
      <c r="GW26" s="118"/>
      <c r="GX26" s="118"/>
      <c r="GY26" s="118"/>
      <c r="GZ26" s="118"/>
      <c r="HA26" s="118"/>
      <c r="HB26" s="118"/>
      <c r="HC26" s="118"/>
      <c r="HD26" s="118"/>
      <c r="HE26" s="118"/>
      <c r="HF26" s="118"/>
      <c r="HG26" s="118"/>
      <c r="HH26" s="118"/>
      <c r="HI26" s="118"/>
      <c r="HJ26" s="118"/>
      <c r="HK26" s="118"/>
      <c r="HL26" s="118"/>
      <c r="HM26" s="118"/>
      <c r="HN26" s="118"/>
      <c r="HO26" s="118"/>
      <c r="HP26" s="118"/>
      <c r="HQ26" s="118"/>
      <c r="HR26" s="118"/>
      <c r="HS26" s="118"/>
      <c r="HT26" s="118"/>
      <c r="HU26" s="118"/>
      <c r="HV26" s="118"/>
      <c r="HW26" s="118"/>
      <c r="HX26" s="118"/>
      <c r="HY26" s="118"/>
      <c r="HZ26" s="118"/>
      <c r="IA26" s="118"/>
      <c r="IB26" s="118"/>
      <c r="IC26" s="118"/>
      <c r="ID26" s="118"/>
      <c r="IE26" s="118"/>
      <c r="IF26" s="118"/>
      <c r="IG26" s="118"/>
      <c r="IH26" s="118"/>
      <c r="II26" s="118"/>
      <c r="IJ26" s="118"/>
      <c r="IK26" s="118"/>
      <c r="IL26" s="118"/>
      <c r="IM26" s="118"/>
      <c r="IN26" s="118"/>
      <c r="IO26" s="118"/>
      <c r="IP26" s="118"/>
      <c r="IQ26" s="118"/>
      <c r="IR26" s="118"/>
      <c r="IS26" s="118"/>
      <c r="IT26" s="118"/>
      <c r="IU26" s="118"/>
      <c r="IV26" s="118"/>
      <c r="IW26" s="118"/>
    </row>
    <row r="27" customFormat="false" ht="15" hidden="false" customHeight="false" outlineLevel="0" collapsed="false">
      <c r="A27" s="118"/>
      <c r="B27" s="118"/>
      <c r="C27" s="118"/>
      <c r="D27" s="118"/>
      <c r="E27" s="118"/>
      <c r="F27" s="118"/>
      <c r="G27" s="118"/>
      <c r="H27" s="118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118"/>
      <c r="CE27" s="118"/>
      <c r="CF27" s="118"/>
      <c r="CG27" s="118"/>
      <c r="CH27" s="118"/>
      <c r="CI27" s="118"/>
      <c r="CJ27" s="118"/>
      <c r="CK27" s="118"/>
      <c r="CL27" s="118"/>
      <c r="CM27" s="118"/>
      <c r="CN27" s="118"/>
      <c r="CO27" s="118"/>
      <c r="CP27" s="118"/>
      <c r="CQ27" s="118"/>
      <c r="CR27" s="118"/>
      <c r="CS27" s="118"/>
      <c r="CT27" s="118"/>
      <c r="CU27" s="118"/>
      <c r="CV27" s="118"/>
      <c r="CW27" s="118"/>
      <c r="CX27" s="118"/>
      <c r="CY27" s="118"/>
      <c r="CZ27" s="118"/>
      <c r="DA27" s="118"/>
      <c r="DB27" s="118"/>
      <c r="DC27" s="118"/>
      <c r="DD27" s="118"/>
      <c r="DE27" s="118"/>
      <c r="DF27" s="118"/>
      <c r="DG27" s="118"/>
      <c r="DH27" s="118"/>
      <c r="DI27" s="118"/>
      <c r="DJ27" s="118"/>
      <c r="DK27" s="118"/>
      <c r="DL27" s="118"/>
      <c r="DM27" s="118"/>
      <c r="DN27" s="118"/>
      <c r="DO27" s="118"/>
      <c r="DP27" s="118"/>
      <c r="DQ27" s="118"/>
      <c r="DR27" s="118"/>
      <c r="DS27" s="118"/>
      <c r="DT27" s="118"/>
      <c r="DU27" s="118"/>
      <c r="DV27" s="118"/>
      <c r="DW27" s="118"/>
      <c r="DX27" s="118"/>
      <c r="DY27" s="118"/>
      <c r="DZ27" s="118"/>
      <c r="EA27" s="118"/>
      <c r="EB27" s="118"/>
      <c r="EC27" s="118"/>
      <c r="ED27" s="118"/>
      <c r="EE27" s="118"/>
      <c r="EF27" s="118"/>
      <c r="EG27" s="118"/>
      <c r="EH27" s="118"/>
      <c r="EI27" s="118"/>
      <c r="EJ27" s="118"/>
      <c r="EK27" s="118"/>
      <c r="EL27" s="118"/>
      <c r="EM27" s="118"/>
      <c r="EN27" s="118"/>
      <c r="EO27" s="118"/>
      <c r="EP27" s="118"/>
      <c r="EQ27" s="118"/>
      <c r="ER27" s="118"/>
      <c r="ES27" s="118"/>
      <c r="ET27" s="118"/>
      <c r="EU27" s="118"/>
      <c r="EV27" s="118"/>
      <c r="EW27" s="118"/>
      <c r="EX27" s="118"/>
      <c r="EY27" s="118"/>
      <c r="EZ27" s="118"/>
      <c r="FA27" s="118"/>
      <c r="FB27" s="118"/>
      <c r="FC27" s="118"/>
      <c r="FD27" s="118"/>
      <c r="FE27" s="118"/>
      <c r="FF27" s="118"/>
      <c r="FG27" s="118"/>
      <c r="FH27" s="118"/>
      <c r="FI27" s="118"/>
      <c r="FJ27" s="118"/>
      <c r="FK27" s="118"/>
      <c r="FL27" s="118"/>
      <c r="FM27" s="118"/>
      <c r="FN27" s="118"/>
      <c r="FO27" s="118"/>
      <c r="FP27" s="118"/>
      <c r="FQ27" s="118"/>
      <c r="FR27" s="118"/>
      <c r="FS27" s="118"/>
      <c r="FT27" s="118"/>
      <c r="FU27" s="118"/>
      <c r="FV27" s="118"/>
      <c r="FW27" s="118"/>
      <c r="FX27" s="118"/>
      <c r="FY27" s="118"/>
      <c r="FZ27" s="118"/>
      <c r="GA27" s="118"/>
      <c r="GB27" s="118"/>
      <c r="GC27" s="118"/>
      <c r="GD27" s="118"/>
      <c r="GE27" s="118"/>
      <c r="GF27" s="118"/>
      <c r="GG27" s="118"/>
      <c r="GH27" s="118"/>
      <c r="GI27" s="118"/>
      <c r="GJ27" s="118"/>
      <c r="GK27" s="118"/>
      <c r="GL27" s="118"/>
      <c r="GM27" s="118"/>
      <c r="GN27" s="118"/>
      <c r="GO27" s="118"/>
      <c r="GP27" s="118"/>
      <c r="GQ27" s="118"/>
      <c r="GR27" s="118"/>
      <c r="GS27" s="118"/>
      <c r="GT27" s="118"/>
      <c r="GU27" s="118"/>
      <c r="GV27" s="118"/>
      <c r="GW27" s="118"/>
      <c r="GX27" s="118"/>
      <c r="GY27" s="118"/>
      <c r="GZ27" s="118"/>
      <c r="HA27" s="118"/>
      <c r="HB27" s="118"/>
      <c r="HC27" s="118"/>
      <c r="HD27" s="118"/>
      <c r="HE27" s="118"/>
      <c r="HF27" s="118"/>
      <c r="HG27" s="118"/>
      <c r="HH27" s="118"/>
      <c r="HI27" s="118"/>
      <c r="HJ27" s="118"/>
      <c r="HK27" s="118"/>
      <c r="HL27" s="118"/>
      <c r="HM27" s="118"/>
      <c r="HN27" s="118"/>
      <c r="HO27" s="118"/>
      <c r="HP27" s="118"/>
      <c r="HQ27" s="118"/>
      <c r="HR27" s="118"/>
      <c r="HS27" s="118"/>
      <c r="HT27" s="118"/>
      <c r="HU27" s="118"/>
      <c r="HV27" s="118"/>
      <c r="HW27" s="118"/>
      <c r="HX27" s="118"/>
      <c r="HY27" s="118"/>
      <c r="HZ27" s="118"/>
      <c r="IA27" s="118"/>
      <c r="IB27" s="118"/>
      <c r="IC27" s="118"/>
      <c r="ID27" s="118"/>
      <c r="IE27" s="118"/>
      <c r="IF27" s="118"/>
      <c r="IG27" s="118"/>
      <c r="IH27" s="118"/>
      <c r="II27" s="118"/>
      <c r="IJ27" s="118"/>
      <c r="IK27" s="118"/>
      <c r="IL27" s="118"/>
      <c r="IM27" s="118"/>
      <c r="IN27" s="118"/>
      <c r="IO27" s="118"/>
      <c r="IP27" s="118"/>
      <c r="IQ27" s="118"/>
      <c r="IR27" s="118"/>
      <c r="IS27" s="118"/>
      <c r="IT27" s="118"/>
      <c r="IU27" s="118"/>
      <c r="IV27" s="118"/>
      <c r="IW27" s="118"/>
    </row>
    <row r="28" customFormat="false" ht="15" hidden="false" customHeight="false" outlineLevel="0" collapsed="false">
      <c r="A28" s="118"/>
      <c r="B28" s="118"/>
      <c r="C28" s="118"/>
      <c r="D28" s="118"/>
      <c r="E28" s="118"/>
      <c r="F28" s="118"/>
      <c r="G28" s="118"/>
      <c r="H28" s="118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18"/>
      <c r="CU28" s="118"/>
      <c r="CV28" s="118"/>
      <c r="CW28" s="118"/>
      <c r="CX28" s="118"/>
      <c r="CY28" s="118"/>
      <c r="CZ28" s="118"/>
      <c r="DA28" s="118"/>
      <c r="DB28" s="118"/>
      <c r="DC28" s="118"/>
      <c r="DD28" s="118"/>
      <c r="DE28" s="118"/>
      <c r="DF28" s="118"/>
      <c r="DG28" s="118"/>
      <c r="DH28" s="118"/>
      <c r="DI28" s="118"/>
      <c r="DJ28" s="118"/>
      <c r="DK28" s="118"/>
      <c r="DL28" s="118"/>
      <c r="DM28" s="118"/>
      <c r="DN28" s="118"/>
      <c r="DO28" s="118"/>
      <c r="DP28" s="118"/>
      <c r="DQ28" s="118"/>
      <c r="DR28" s="118"/>
      <c r="DS28" s="118"/>
      <c r="DT28" s="118"/>
      <c r="DU28" s="118"/>
      <c r="DV28" s="118"/>
      <c r="DW28" s="118"/>
      <c r="DX28" s="118"/>
      <c r="DY28" s="118"/>
      <c r="DZ28" s="118"/>
      <c r="EA28" s="118"/>
      <c r="EB28" s="118"/>
      <c r="EC28" s="118"/>
      <c r="ED28" s="118"/>
      <c r="EE28" s="118"/>
      <c r="EF28" s="118"/>
      <c r="EG28" s="118"/>
      <c r="EH28" s="118"/>
      <c r="EI28" s="118"/>
      <c r="EJ28" s="118"/>
      <c r="EK28" s="118"/>
      <c r="EL28" s="118"/>
      <c r="EM28" s="118"/>
      <c r="EN28" s="118"/>
      <c r="EO28" s="118"/>
      <c r="EP28" s="118"/>
      <c r="EQ28" s="118"/>
      <c r="ER28" s="118"/>
      <c r="ES28" s="118"/>
      <c r="ET28" s="118"/>
      <c r="EU28" s="118"/>
      <c r="EV28" s="118"/>
      <c r="EW28" s="118"/>
      <c r="EX28" s="118"/>
      <c r="EY28" s="118"/>
      <c r="EZ28" s="118"/>
      <c r="FA28" s="118"/>
      <c r="FB28" s="118"/>
      <c r="FC28" s="118"/>
      <c r="FD28" s="118"/>
      <c r="FE28" s="118"/>
      <c r="FF28" s="118"/>
      <c r="FG28" s="118"/>
      <c r="FH28" s="118"/>
      <c r="FI28" s="118"/>
      <c r="FJ28" s="118"/>
      <c r="FK28" s="118"/>
      <c r="FL28" s="118"/>
      <c r="FM28" s="118"/>
      <c r="FN28" s="118"/>
      <c r="FO28" s="118"/>
      <c r="FP28" s="118"/>
      <c r="FQ28" s="118"/>
      <c r="FR28" s="118"/>
      <c r="FS28" s="118"/>
      <c r="FT28" s="118"/>
      <c r="FU28" s="118"/>
      <c r="FV28" s="118"/>
      <c r="FW28" s="118"/>
      <c r="FX28" s="118"/>
      <c r="FY28" s="118"/>
      <c r="FZ28" s="118"/>
      <c r="GA28" s="118"/>
      <c r="GB28" s="118"/>
      <c r="GC28" s="118"/>
      <c r="GD28" s="118"/>
      <c r="GE28" s="118"/>
      <c r="GF28" s="118"/>
      <c r="GG28" s="118"/>
      <c r="GH28" s="118"/>
      <c r="GI28" s="118"/>
      <c r="GJ28" s="118"/>
      <c r="GK28" s="118"/>
      <c r="GL28" s="118"/>
      <c r="GM28" s="118"/>
      <c r="GN28" s="118"/>
      <c r="GO28" s="118"/>
      <c r="GP28" s="118"/>
      <c r="GQ28" s="118"/>
      <c r="GR28" s="118"/>
      <c r="GS28" s="118"/>
      <c r="GT28" s="118"/>
      <c r="GU28" s="118"/>
      <c r="GV28" s="118"/>
      <c r="GW28" s="118"/>
      <c r="GX28" s="118"/>
      <c r="GY28" s="118"/>
      <c r="GZ28" s="118"/>
      <c r="HA28" s="118"/>
      <c r="HB28" s="118"/>
      <c r="HC28" s="118"/>
      <c r="HD28" s="118"/>
      <c r="HE28" s="118"/>
      <c r="HF28" s="118"/>
      <c r="HG28" s="118"/>
      <c r="HH28" s="118"/>
      <c r="HI28" s="118"/>
      <c r="HJ28" s="118"/>
      <c r="HK28" s="118"/>
      <c r="HL28" s="118"/>
      <c r="HM28" s="118"/>
      <c r="HN28" s="118"/>
      <c r="HO28" s="118"/>
      <c r="HP28" s="118"/>
      <c r="HQ28" s="118"/>
      <c r="HR28" s="118"/>
      <c r="HS28" s="118"/>
      <c r="HT28" s="118"/>
      <c r="HU28" s="118"/>
      <c r="HV28" s="118"/>
      <c r="HW28" s="118"/>
      <c r="HX28" s="118"/>
      <c r="HY28" s="118"/>
      <c r="HZ28" s="118"/>
      <c r="IA28" s="118"/>
      <c r="IB28" s="118"/>
      <c r="IC28" s="118"/>
      <c r="ID28" s="118"/>
      <c r="IE28" s="118"/>
      <c r="IF28" s="118"/>
      <c r="IG28" s="118"/>
      <c r="IH28" s="118"/>
      <c r="II28" s="118"/>
      <c r="IJ28" s="118"/>
      <c r="IK28" s="118"/>
      <c r="IL28" s="118"/>
      <c r="IM28" s="118"/>
      <c r="IN28" s="118"/>
      <c r="IO28" s="118"/>
      <c r="IP28" s="118"/>
      <c r="IQ28" s="118"/>
      <c r="IR28" s="118"/>
      <c r="IS28" s="118"/>
      <c r="IT28" s="118"/>
      <c r="IU28" s="118"/>
      <c r="IV28" s="118"/>
      <c r="IW28" s="118"/>
    </row>
    <row r="29" customFormat="false" ht="15" hidden="false" customHeight="false" outlineLevel="0" collapsed="false">
      <c r="A29" s="118"/>
      <c r="B29" s="118"/>
      <c r="C29" s="118"/>
      <c r="D29" s="118"/>
      <c r="E29" s="118"/>
      <c r="F29" s="118"/>
      <c r="G29" s="118"/>
      <c r="H29" s="118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  <c r="CU29" s="118"/>
      <c r="CV29" s="118"/>
      <c r="CW29" s="118"/>
      <c r="CX29" s="118"/>
      <c r="CY29" s="118"/>
      <c r="CZ29" s="118"/>
      <c r="DA29" s="118"/>
      <c r="DB29" s="118"/>
      <c r="DC29" s="118"/>
      <c r="DD29" s="118"/>
      <c r="DE29" s="118"/>
      <c r="DF29" s="118"/>
      <c r="DG29" s="118"/>
      <c r="DH29" s="118"/>
      <c r="DI29" s="118"/>
      <c r="DJ29" s="118"/>
      <c r="DK29" s="118"/>
      <c r="DL29" s="118"/>
      <c r="DM29" s="118"/>
      <c r="DN29" s="118"/>
      <c r="DO29" s="118"/>
      <c r="DP29" s="118"/>
      <c r="DQ29" s="118"/>
      <c r="DR29" s="118"/>
      <c r="DS29" s="118"/>
      <c r="DT29" s="118"/>
      <c r="DU29" s="118"/>
      <c r="DV29" s="118"/>
      <c r="DW29" s="118"/>
      <c r="DX29" s="118"/>
      <c r="DY29" s="118"/>
      <c r="DZ29" s="118"/>
      <c r="EA29" s="118"/>
      <c r="EB29" s="118"/>
      <c r="EC29" s="118"/>
      <c r="ED29" s="118"/>
      <c r="EE29" s="118"/>
      <c r="EF29" s="118"/>
      <c r="EG29" s="118"/>
      <c r="EH29" s="118"/>
      <c r="EI29" s="118"/>
      <c r="EJ29" s="118"/>
      <c r="EK29" s="118"/>
      <c r="EL29" s="118"/>
      <c r="EM29" s="118"/>
      <c r="EN29" s="118"/>
      <c r="EO29" s="118"/>
      <c r="EP29" s="118"/>
      <c r="EQ29" s="118"/>
      <c r="ER29" s="118"/>
      <c r="ES29" s="118"/>
      <c r="ET29" s="118"/>
      <c r="EU29" s="118"/>
      <c r="EV29" s="118"/>
      <c r="EW29" s="118"/>
      <c r="EX29" s="118"/>
      <c r="EY29" s="118"/>
      <c r="EZ29" s="118"/>
      <c r="FA29" s="118"/>
      <c r="FB29" s="118"/>
      <c r="FC29" s="118"/>
      <c r="FD29" s="118"/>
      <c r="FE29" s="118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118"/>
      <c r="GL29" s="118"/>
      <c r="GM29" s="118"/>
      <c r="GN29" s="118"/>
      <c r="GO29" s="118"/>
      <c r="GP29" s="118"/>
      <c r="GQ29" s="118"/>
      <c r="GR29" s="118"/>
      <c r="GS29" s="118"/>
      <c r="GT29" s="118"/>
      <c r="GU29" s="118"/>
      <c r="GV29" s="118"/>
      <c r="GW29" s="118"/>
      <c r="GX29" s="118"/>
      <c r="GY29" s="118"/>
      <c r="GZ29" s="118"/>
      <c r="HA29" s="118"/>
      <c r="HB29" s="118"/>
      <c r="HC29" s="118"/>
      <c r="HD29" s="118"/>
      <c r="HE29" s="118"/>
      <c r="HF29" s="118"/>
      <c r="HG29" s="118"/>
      <c r="HH29" s="118"/>
      <c r="HI29" s="118"/>
      <c r="HJ29" s="118"/>
      <c r="HK29" s="118"/>
      <c r="HL29" s="118"/>
      <c r="HM29" s="118"/>
      <c r="HN29" s="118"/>
      <c r="HO29" s="118"/>
      <c r="HP29" s="118"/>
      <c r="HQ29" s="118"/>
      <c r="HR29" s="118"/>
      <c r="HS29" s="118"/>
      <c r="HT29" s="118"/>
      <c r="HU29" s="118"/>
      <c r="HV29" s="118"/>
      <c r="HW29" s="118"/>
      <c r="HX29" s="118"/>
      <c r="HY29" s="118"/>
      <c r="HZ29" s="118"/>
      <c r="IA29" s="118"/>
      <c r="IB29" s="118"/>
      <c r="IC29" s="118"/>
      <c r="ID29" s="118"/>
      <c r="IE29" s="118"/>
      <c r="IF29" s="118"/>
      <c r="IG29" s="118"/>
      <c r="IH29" s="118"/>
      <c r="II29" s="118"/>
      <c r="IJ29" s="118"/>
      <c r="IK29" s="118"/>
      <c r="IL29" s="118"/>
      <c r="IM29" s="118"/>
      <c r="IN29" s="118"/>
      <c r="IO29" s="118"/>
      <c r="IP29" s="118"/>
      <c r="IQ29" s="118"/>
      <c r="IR29" s="118"/>
      <c r="IS29" s="118"/>
      <c r="IT29" s="118"/>
      <c r="IU29" s="118"/>
      <c r="IV29" s="118"/>
      <c r="IW29" s="118"/>
    </row>
    <row r="30" customFormat="false" ht="15" hidden="false" customHeight="false" outlineLevel="0" collapsed="false">
      <c r="A30" s="118"/>
      <c r="B30" s="118"/>
      <c r="C30" s="118"/>
      <c r="D30" s="118"/>
      <c r="E30" s="118"/>
      <c r="F30" s="118"/>
      <c r="G30" s="118"/>
      <c r="H30" s="118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18"/>
      <c r="CS30" s="118"/>
      <c r="CT30" s="118"/>
      <c r="CU30" s="118"/>
      <c r="CV30" s="118"/>
      <c r="CW30" s="118"/>
      <c r="CX30" s="118"/>
      <c r="CY30" s="118"/>
      <c r="CZ30" s="118"/>
      <c r="DA30" s="118"/>
      <c r="DB30" s="118"/>
      <c r="DC30" s="118"/>
      <c r="DD30" s="118"/>
      <c r="DE30" s="118"/>
      <c r="DF30" s="118"/>
      <c r="DG30" s="118"/>
      <c r="DH30" s="118"/>
      <c r="DI30" s="118"/>
      <c r="DJ30" s="118"/>
      <c r="DK30" s="118"/>
      <c r="DL30" s="118"/>
      <c r="DM30" s="118"/>
      <c r="DN30" s="118"/>
      <c r="DO30" s="118"/>
      <c r="DP30" s="118"/>
      <c r="DQ30" s="118"/>
      <c r="DR30" s="118"/>
      <c r="DS30" s="118"/>
      <c r="DT30" s="118"/>
      <c r="DU30" s="118"/>
      <c r="DV30" s="118"/>
      <c r="DW30" s="118"/>
      <c r="DX30" s="118"/>
      <c r="DY30" s="118"/>
      <c r="DZ30" s="118"/>
      <c r="EA30" s="118"/>
      <c r="EB30" s="118"/>
      <c r="EC30" s="118"/>
      <c r="ED30" s="118"/>
      <c r="EE30" s="118"/>
      <c r="EF30" s="118"/>
      <c r="EG30" s="118"/>
      <c r="EH30" s="118"/>
      <c r="EI30" s="118"/>
      <c r="EJ30" s="118"/>
      <c r="EK30" s="118"/>
      <c r="EL30" s="118"/>
      <c r="EM30" s="118"/>
      <c r="EN30" s="118"/>
      <c r="EO30" s="118"/>
      <c r="EP30" s="118"/>
      <c r="EQ30" s="118"/>
      <c r="ER30" s="118"/>
      <c r="ES30" s="118"/>
      <c r="ET30" s="118"/>
      <c r="EU30" s="118"/>
      <c r="EV30" s="118"/>
      <c r="EW30" s="118"/>
      <c r="EX30" s="118"/>
      <c r="EY30" s="118"/>
      <c r="EZ30" s="118"/>
      <c r="FA30" s="118"/>
      <c r="FB30" s="118"/>
      <c r="FC30" s="118"/>
      <c r="FD30" s="118"/>
      <c r="FE30" s="118"/>
      <c r="FF30" s="118"/>
      <c r="FG30" s="118"/>
      <c r="FH30" s="118"/>
      <c r="FI30" s="118"/>
      <c r="FJ30" s="118"/>
      <c r="FK30" s="118"/>
      <c r="FL30" s="118"/>
      <c r="FM30" s="118"/>
      <c r="FN30" s="118"/>
      <c r="FO30" s="118"/>
      <c r="FP30" s="118"/>
      <c r="FQ30" s="118"/>
      <c r="FR30" s="118"/>
      <c r="FS30" s="118"/>
      <c r="FT30" s="118"/>
      <c r="FU30" s="118"/>
      <c r="FV30" s="118"/>
      <c r="FW30" s="118"/>
      <c r="FX30" s="118"/>
      <c r="FY30" s="118"/>
      <c r="FZ30" s="118"/>
      <c r="GA30" s="118"/>
      <c r="GB30" s="118"/>
      <c r="GC30" s="118"/>
      <c r="GD30" s="118"/>
      <c r="GE30" s="118"/>
      <c r="GF30" s="118"/>
      <c r="GG30" s="118"/>
      <c r="GH30" s="118"/>
      <c r="GI30" s="118"/>
      <c r="GJ30" s="118"/>
      <c r="GK30" s="118"/>
      <c r="GL30" s="118"/>
      <c r="GM30" s="118"/>
      <c r="GN30" s="118"/>
      <c r="GO30" s="118"/>
      <c r="GP30" s="118"/>
      <c r="GQ30" s="118"/>
      <c r="GR30" s="118"/>
      <c r="GS30" s="118"/>
      <c r="GT30" s="118"/>
      <c r="GU30" s="118"/>
      <c r="GV30" s="118"/>
      <c r="GW30" s="118"/>
      <c r="GX30" s="118"/>
      <c r="GY30" s="118"/>
      <c r="GZ30" s="118"/>
      <c r="HA30" s="118"/>
      <c r="HB30" s="118"/>
      <c r="HC30" s="118"/>
      <c r="HD30" s="118"/>
      <c r="HE30" s="118"/>
      <c r="HF30" s="118"/>
      <c r="HG30" s="118"/>
      <c r="HH30" s="118"/>
      <c r="HI30" s="118"/>
      <c r="HJ30" s="118"/>
      <c r="HK30" s="118"/>
      <c r="HL30" s="118"/>
      <c r="HM30" s="118"/>
      <c r="HN30" s="118"/>
      <c r="HO30" s="118"/>
      <c r="HP30" s="118"/>
      <c r="HQ30" s="118"/>
      <c r="HR30" s="118"/>
      <c r="HS30" s="118"/>
      <c r="HT30" s="118"/>
      <c r="HU30" s="118"/>
      <c r="HV30" s="118"/>
      <c r="HW30" s="118"/>
      <c r="HX30" s="118"/>
      <c r="HY30" s="118"/>
      <c r="HZ30" s="118"/>
      <c r="IA30" s="118"/>
      <c r="IB30" s="118"/>
      <c r="IC30" s="118"/>
      <c r="ID30" s="118"/>
      <c r="IE30" s="118"/>
      <c r="IF30" s="118"/>
      <c r="IG30" s="118"/>
      <c r="IH30" s="118"/>
      <c r="II30" s="118"/>
      <c r="IJ30" s="118"/>
      <c r="IK30" s="118"/>
      <c r="IL30" s="118"/>
      <c r="IM30" s="118"/>
      <c r="IN30" s="118"/>
      <c r="IO30" s="118"/>
      <c r="IP30" s="118"/>
      <c r="IQ30" s="118"/>
      <c r="IR30" s="118"/>
      <c r="IS30" s="118"/>
      <c r="IT30" s="118"/>
      <c r="IU30" s="118"/>
      <c r="IV30" s="118"/>
      <c r="IW30" s="118"/>
    </row>
    <row r="31" customFormat="false" ht="15" hidden="false" customHeight="false" outlineLevel="0" collapsed="false">
      <c r="A31" s="118"/>
      <c r="B31" s="118"/>
      <c r="C31" s="118"/>
      <c r="D31" s="118"/>
      <c r="E31" s="118"/>
      <c r="F31" s="118"/>
      <c r="G31" s="118"/>
      <c r="H31" s="118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  <c r="CU31" s="118"/>
      <c r="CV31" s="118"/>
      <c r="CW31" s="118"/>
      <c r="CX31" s="118"/>
      <c r="CY31" s="118"/>
      <c r="CZ31" s="118"/>
      <c r="DA31" s="118"/>
      <c r="DB31" s="118"/>
      <c r="DC31" s="118"/>
      <c r="DD31" s="118"/>
      <c r="DE31" s="118"/>
      <c r="DF31" s="118"/>
      <c r="DG31" s="118"/>
      <c r="DH31" s="118"/>
      <c r="DI31" s="118"/>
      <c r="DJ31" s="118"/>
      <c r="DK31" s="118"/>
      <c r="DL31" s="118"/>
      <c r="DM31" s="118"/>
      <c r="DN31" s="118"/>
      <c r="DO31" s="118"/>
      <c r="DP31" s="118"/>
      <c r="DQ31" s="118"/>
      <c r="DR31" s="118"/>
      <c r="DS31" s="118"/>
      <c r="DT31" s="118"/>
      <c r="DU31" s="118"/>
      <c r="DV31" s="118"/>
      <c r="DW31" s="118"/>
      <c r="DX31" s="118"/>
      <c r="DY31" s="118"/>
      <c r="DZ31" s="118"/>
      <c r="EA31" s="118"/>
      <c r="EB31" s="118"/>
      <c r="EC31" s="118"/>
      <c r="ED31" s="118"/>
      <c r="EE31" s="118"/>
      <c r="EF31" s="118"/>
      <c r="EG31" s="118"/>
      <c r="EH31" s="118"/>
      <c r="EI31" s="118"/>
      <c r="EJ31" s="118"/>
      <c r="EK31" s="118"/>
      <c r="EL31" s="118"/>
      <c r="EM31" s="118"/>
      <c r="EN31" s="118"/>
      <c r="EO31" s="118"/>
      <c r="EP31" s="118"/>
      <c r="EQ31" s="118"/>
      <c r="ER31" s="118"/>
      <c r="ES31" s="118"/>
      <c r="ET31" s="118"/>
      <c r="EU31" s="118"/>
      <c r="EV31" s="118"/>
      <c r="EW31" s="118"/>
      <c r="EX31" s="118"/>
      <c r="EY31" s="118"/>
      <c r="EZ31" s="118"/>
      <c r="FA31" s="118"/>
      <c r="FB31" s="118"/>
      <c r="FC31" s="118"/>
      <c r="FD31" s="118"/>
      <c r="FE31" s="118"/>
      <c r="FF31" s="118"/>
      <c r="FG31" s="118"/>
      <c r="FH31" s="118"/>
      <c r="FI31" s="118"/>
      <c r="FJ31" s="118"/>
      <c r="FK31" s="118"/>
      <c r="FL31" s="118"/>
      <c r="FM31" s="118"/>
      <c r="FN31" s="118"/>
      <c r="FO31" s="118"/>
      <c r="FP31" s="118"/>
      <c r="FQ31" s="118"/>
      <c r="FR31" s="118"/>
      <c r="FS31" s="118"/>
      <c r="FT31" s="118"/>
      <c r="FU31" s="118"/>
      <c r="FV31" s="118"/>
      <c r="FW31" s="118"/>
      <c r="FX31" s="118"/>
      <c r="FY31" s="118"/>
      <c r="FZ31" s="118"/>
      <c r="GA31" s="118"/>
      <c r="GB31" s="118"/>
      <c r="GC31" s="118"/>
      <c r="GD31" s="118"/>
      <c r="GE31" s="118"/>
      <c r="GF31" s="118"/>
      <c r="GG31" s="118"/>
      <c r="GH31" s="118"/>
      <c r="GI31" s="118"/>
      <c r="GJ31" s="118"/>
      <c r="GK31" s="118"/>
      <c r="GL31" s="118"/>
      <c r="GM31" s="118"/>
      <c r="GN31" s="118"/>
      <c r="GO31" s="118"/>
      <c r="GP31" s="118"/>
      <c r="GQ31" s="118"/>
      <c r="GR31" s="118"/>
      <c r="GS31" s="118"/>
      <c r="GT31" s="118"/>
      <c r="GU31" s="118"/>
      <c r="GV31" s="118"/>
      <c r="GW31" s="118"/>
      <c r="GX31" s="118"/>
      <c r="GY31" s="118"/>
      <c r="GZ31" s="118"/>
      <c r="HA31" s="118"/>
      <c r="HB31" s="118"/>
      <c r="HC31" s="118"/>
      <c r="HD31" s="118"/>
      <c r="HE31" s="118"/>
      <c r="HF31" s="118"/>
      <c r="HG31" s="118"/>
      <c r="HH31" s="118"/>
      <c r="HI31" s="118"/>
      <c r="HJ31" s="118"/>
      <c r="HK31" s="118"/>
      <c r="HL31" s="118"/>
      <c r="HM31" s="118"/>
      <c r="HN31" s="118"/>
      <c r="HO31" s="118"/>
      <c r="HP31" s="118"/>
      <c r="HQ31" s="118"/>
      <c r="HR31" s="118"/>
      <c r="HS31" s="118"/>
      <c r="HT31" s="118"/>
      <c r="HU31" s="118"/>
      <c r="HV31" s="118"/>
      <c r="HW31" s="118"/>
      <c r="HX31" s="118"/>
      <c r="HY31" s="118"/>
      <c r="HZ31" s="118"/>
      <c r="IA31" s="118"/>
      <c r="IB31" s="118"/>
      <c r="IC31" s="118"/>
      <c r="ID31" s="118"/>
      <c r="IE31" s="118"/>
      <c r="IF31" s="118"/>
      <c r="IG31" s="118"/>
      <c r="IH31" s="118"/>
      <c r="II31" s="118"/>
      <c r="IJ31" s="118"/>
      <c r="IK31" s="118"/>
      <c r="IL31" s="118"/>
      <c r="IM31" s="118"/>
      <c r="IN31" s="118"/>
      <c r="IO31" s="118"/>
      <c r="IP31" s="118"/>
      <c r="IQ31" s="118"/>
      <c r="IR31" s="118"/>
      <c r="IS31" s="118"/>
      <c r="IT31" s="118"/>
      <c r="IU31" s="118"/>
      <c r="IV31" s="118"/>
      <c r="IW31" s="118"/>
    </row>
    <row r="32" customFormat="false" ht="15" hidden="false" customHeight="false" outlineLevel="0" collapsed="false">
      <c r="A32" s="118"/>
      <c r="B32" s="118"/>
      <c r="C32" s="118"/>
      <c r="D32" s="118"/>
      <c r="E32" s="118"/>
      <c r="F32" s="118"/>
      <c r="G32" s="118"/>
      <c r="H32" s="118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  <c r="GQ32" s="118"/>
      <c r="GR32" s="118"/>
      <c r="GS32" s="118"/>
      <c r="GT32" s="118"/>
      <c r="GU32" s="118"/>
      <c r="GV32" s="118"/>
      <c r="GW32" s="118"/>
      <c r="GX32" s="118"/>
      <c r="GY32" s="118"/>
      <c r="GZ32" s="118"/>
      <c r="HA32" s="118"/>
      <c r="HB32" s="118"/>
      <c r="HC32" s="118"/>
      <c r="HD32" s="118"/>
      <c r="HE32" s="118"/>
      <c r="HF32" s="118"/>
      <c r="HG32" s="118"/>
      <c r="HH32" s="118"/>
      <c r="HI32" s="118"/>
      <c r="HJ32" s="118"/>
      <c r="HK32" s="118"/>
      <c r="HL32" s="118"/>
      <c r="HM32" s="118"/>
      <c r="HN32" s="118"/>
      <c r="HO32" s="118"/>
      <c r="HP32" s="118"/>
      <c r="HQ32" s="118"/>
      <c r="HR32" s="118"/>
      <c r="HS32" s="118"/>
      <c r="HT32" s="118"/>
      <c r="HU32" s="118"/>
      <c r="HV32" s="118"/>
      <c r="HW32" s="118"/>
      <c r="HX32" s="118"/>
      <c r="HY32" s="118"/>
      <c r="HZ32" s="118"/>
      <c r="IA32" s="118"/>
      <c r="IB32" s="118"/>
      <c r="IC32" s="118"/>
      <c r="ID32" s="118"/>
      <c r="IE32" s="118"/>
      <c r="IF32" s="118"/>
      <c r="IG32" s="118"/>
      <c r="IH32" s="118"/>
      <c r="II32" s="118"/>
      <c r="IJ32" s="118"/>
      <c r="IK32" s="118"/>
      <c r="IL32" s="118"/>
      <c r="IM32" s="118"/>
      <c r="IN32" s="118"/>
      <c r="IO32" s="118"/>
      <c r="IP32" s="118"/>
      <c r="IQ32" s="118"/>
      <c r="IR32" s="118"/>
      <c r="IS32" s="118"/>
      <c r="IT32" s="118"/>
      <c r="IU32" s="118"/>
      <c r="IV32" s="118"/>
      <c r="IW32" s="118"/>
    </row>
    <row r="33" customFormat="false" ht="15" hidden="false" customHeight="false" outlineLevel="0" collapsed="false">
      <c r="A33" s="118"/>
      <c r="B33" s="118"/>
      <c r="C33" s="118"/>
      <c r="D33" s="118"/>
      <c r="E33" s="118"/>
      <c r="F33" s="118"/>
      <c r="G33" s="118"/>
      <c r="H33" s="118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8"/>
      <c r="BP33" s="118"/>
      <c r="BQ33" s="118"/>
      <c r="BR33" s="118"/>
      <c r="BS33" s="118"/>
      <c r="BT33" s="118"/>
      <c r="BU33" s="118"/>
      <c r="BV33" s="118"/>
      <c r="BW33" s="118"/>
      <c r="BX33" s="118"/>
      <c r="BY33" s="118"/>
      <c r="BZ33" s="118"/>
      <c r="CA33" s="118"/>
      <c r="CB33" s="118"/>
      <c r="CC33" s="118"/>
      <c r="CD33" s="118"/>
      <c r="CE33" s="118"/>
      <c r="CF33" s="118"/>
      <c r="CG33" s="118"/>
      <c r="CH33" s="118"/>
      <c r="CI33" s="118"/>
      <c r="CJ33" s="118"/>
      <c r="CK33" s="118"/>
      <c r="CL33" s="118"/>
      <c r="CM33" s="118"/>
      <c r="CN33" s="118"/>
      <c r="CO33" s="118"/>
      <c r="CP33" s="118"/>
      <c r="CQ33" s="118"/>
      <c r="CR33" s="118"/>
      <c r="CS33" s="118"/>
      <c r="CT33" s="118"/>
      <c r="CU33" s="118"/>
      <c r="CV33" s="118"/>
      <c r="CW33" s="118"/>
      <c r="CX33" s="118"/>
      <c r="CY33" s="118"/>
      <c r="CZ33" s="118"/>
      <c r="DA33" s="118"/>
      <c r="DB33" s="118"/>
      <c r="DC33" s="118"/>
      <c r="DD33" s="118"/>
      <c r="DE33" s="118"/>
      <c r="DF33" s="118"/>
      <c r="DG33" s="118"/>
      <c r="DH33" s="118"/>
      <c r="DI33" s="118"/>
      <c r="DJ33" s="118"/>
      <c r="DK33" s="118"/>
      <c r="DL33" s="118"/>
      <c r="DM33" s="118"/>
      <c r="DN33" s="118"/>
      <c r="DO33" s="118"/>
      <c r="DP33" s="118"/>
      <c r="DQ33" s="118"/>
      <c r="DR33" s="118"/>
      <c r="DS33" s="118"/>
      <c r="DT33" s="118"/>
      <c r="DU33" s="118"/>
      <c r="DV33" s="118"/>
      <c r="DW33" s="118"/>
      <c r="DX33" s="118"/>
      <c r="DY33" s="118"/>
      <c r="DZ33" s="118"/>
      <c r="EA33" s="118"/>
      <c r="EB33" s="118"/>
      <c r="EC33" s="118"/>
      <c r="ED33" s="118"/>
      <c r="EE33" s="118"/>
      <c r="EF33" s="118"/>
      <c r="EG33" s="118"/>
      <c r="EH33" s="118"/>
      <c r="EI33" s="118"/>
      <c r="EJ33" s="118"/>
      <c r="EK33" s="118"/>
      <c r="EL33" s="118"/>
      <c r="EM33" s="118"/>
      <c r="EN33" s="118"/>
      <c r="EO33" s="118"/>
      <c r="EP33" s="118"/>
      <c r="EQ33" s="118"/>
      <c r="ER33" s="118"/>
      <c r="ES33" s="118"/>
      <c r="ET33" s="118"/>
      <c r="EU33" s="118"/>
      <c r="EV33" s="118"/>
      <c r="EW33" s="118"/>
      <c r="EX33" s="118"/>
      <c r="EY33" s="118"/>
      <c r="EZ33" s="118"/>
      <c r="FA33" s="118"/>
      <c r="FB33" s="118"/>
      <c r="FC33" s="118"/>
      <c r="FD33" s="118"/>
      <c r="FE33" s="118"/>
      <c r="FF33" s="118"/>
      <c r="FG33" s="118"/>
      <c r="FH33" s="118"/>
      <c r="FI33" s="118"/>
      <c r="FJ33" s="118"/>
      <c r="FK33" s="118"/>
      <c r="FL33" s="118"/>
      <c r="FM33" s="118"/>
      <c r="FN33" s="118"/>
      <c r="FO33" s="118"/>
      <c r="FP33" s="118"/>
      <c r="FQ33" s="118"/>
      <c r="FR33" s="118"/>
      <c r="FS33" s="118"/>
      <c r="FT33" s="118"/>
      <c r="FU33" s="118"/>
      <c r="FV33" s="118"/>
      <c r="FW33" s="118"/>
      <c r="FX33" s="118"/>
      <c r="FY33" s="118"/>
      <c r="FZ33" s="118"/>
      <c r="GA33" s="118"/>
      <c r="GB33" s="118"/>
      <c r="GC33" s="118"/>
      <c r="GD33" s="118"/>
      <c r="GE33" s="118"/>
      <c r="GF33" s="118"/>
      <c r="GG33" s="118"/>
      <c r="GH33" s="118"/>
      <c r="GI33" s="118"/>
      <c r="GJ33" s="118"/>
      <c r="GK33" s="118"/>
      <c r="GL33" s="118"/>
      <c r="GM33" s="118"/>
      <c r="GN33" s="118"/>
      <c r="GO33" s="118"/>
      <c r="GP33" s="118"/>
      <c r="GQ33" s="118"/>
      <c r="GR33" s="118"/>
      <c r="GS33" s="118"/>
      <c r="GT33" s="118"/>
      <c r="GU33" s="118"/>
      <c r="GV33" s="118"/>
      <c r="GW33" s="118"/>
      <c r="GX33" s="118"/>
      <c r="GY33" s="118"/>
      <c r="GZ33" s="118"/>
      <c r="HA33" s="118"/>
      <c r="HB33" s="118"/>
      <c r="HC33" s="118"/>
      <c r="HD33" s="118"/>
      <c r="HE33" s="118"/>
      <c r="HF33" s="118"/>
      <c r="HG33" s="118"/>
      <c r="HH33" s="118"/>
      <c r="HI33" s="118"/>
      <c r="HJ33" s="118"/>
      <c r="HK33" s="118"/>
      <c r="HL33" s="118"/>
      <c r="HM33" s="118"/>
      <c r="HN33" s="118"/>
      <c r="HO33" s="118"/>
      <c r="HP33" s="118"/>
      <c r="HQ33" s="118"/>
      <c r="HR33" s="118"/>
      <c r="HS33" s="118"/>
      <c r="HT33" s="118"/>
      <c r="HU33" s="118"/>
      <c r="HV33" s="118"/>
      <c r="HW33" s="118"/>
      <c r="HX33" s="118"/>
      <c r="HY33" s="118"/>
      <c r="HZ33" s="118"/>
      <c r="IA33" s="118"/>
      <c r="IB33" s="118"/>
      <c r="IC33" s="118"/>
      <c r="ID33" s="118"/>
      <c r="IE33" s="118"/>
      <c r="IF33" s="118"/>
      <c r="IG33" s="118"/>
      <c r="IH33" s="118"/>
      <c r="II33" s="118"/>
      <c r="IJ33" s="118"/>
      <c r="IK33" s="118"/>
      <c r="IL33" s="118"/>
      <c r="IM33" s="118"/>
      <c r="IN33" s="118"/>
      <c r="IO33" s="118"/>
      <c r="IP33" s="118"/>
      <c r="IQ33" s="118"/>
      <c r="IR33" s="118"/>
      <c r="IS33" s="118"/>
      <c r="IT33" s="118"/>
      <c r="IU33" s="118"/>
      <c r="IV33" s="118"/>
      <c r="IW33" s="118"/>
    </row>
    <row r="34" customFormat="false" ht="15" hidden="false" customHeight="false" outlineLevel="0" collapsed="false">
      <c r="A34" s="118"/>
      <c r="B34" s="118"/>
      <c r="C34" s="118"/>
      <c r="D34" s="118"/>
      <c r="E34" s="118"/>
      <c r="F34" s="118"/>
      <c r="G34" s="118"/>
      <c r="H34" s="118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8"/>
      <c r="CM34" s="118"/>
      <c r="CN34" s="118"/>
      <c r="CO34" s="118"/>
      <c r="CP34" s="118"/>
      <c r="CQ34" s="118"/>
      <c r="CR34" s="118"/>
      <c r="CS34" s="118"/>
      <c r="CT34" s="118"/>
      <c r="CU34" s="118"/>
      <c r="CV34" s="118"/>
      <c r="CW34" s="118"/>
      <c r="CX34" s="118"/>
      <c r="CY34" s="118"/>
      <c r="CZ34" s="118"/>
      <c r="DA34" s="118"/>
      <c r="DB34" s="118"/>
      <c r="DC34" s="118"/>
      <c r="DD34" s="118"/>
      <c r="DE34" s="118"/>
      <c r="DF34" s="118"/>
      <c r="DG34" s="118"/>
      <c r="DH34" s="118"/>
      <c r="DI34" s="118"/>
      <c r="DJ34" s="118"/>
      <c r="DK34" s="118"/>
      <c r="DL34" s="118"/>
      <c r="DM34" s="118"/>
      <c r="DN34" s="118"/>
      <c r="DO34" s="118"/>
      <c r="DP34" s="118"/>
      <c r="DQ34" s="118"/>
      <c r="DR34" s="118"/>
      <c r="DS34" s="118"/>
      <c r="DT34" s="118"/>
      <c r="DU34" s="118"/>
      <c r="DV34" s="118"/>
      <c r="DW34" s="118"/>
      <c r="DX34" s="118"/>
      <c r="DY34" s="118"/>
      <c r="DZ34" s="118"/>
      <c r="EA34" s="118"/>
      <c r="EB34" s="118"/>
      <c r="EC34" s="118"/>
      <c r="ED34" s="118"/>
      <c r="EE34" s="118"/>
      <c r="EF34" s="118"/>
      <c r="EG34" s="118"/>
      <c r="EH34" s="118"/>
      <c r="EI34" s="118"/>
      <c r="EJ34" s="118"/>
      <c r="EK34" s="118"/>
      <c r="EL34" s="118"/>
      <c r="EM34" s="118"/>
      <c r="EN34" s="118"/>
      <c r="EO34" s="118"/>
      <c r="EP34" s="118"/>
      <c r="EQ34" s="118"/>
      <c r="ER34" s="118"/>
      <c r="ES34" s="118"/>
      <c r="ET34" s="118"/>
      <c r="EU34" s="118"/>
      <c r="EV34" s="118"/>
      <c r="EW34" s="118"/>
      <c r="EX34" s="118"/>
      <c r="EY34" s="118"/>
      <c r="EZ34" s="118"/>
      <c r="FA34" s="118"/>
      <c r="FB34" s="118"/>
      <c r="FC34" s="118"/>
      <c r="FD34" s="118"/>
      <c r="FE34" s="118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118"/>
      <c r="GL34" s="118"/>
      <c r="GM34" s="118"/>
      <c r="GN34" s="118"/>
      <c r="GO34" s="118"/>
      <c r="GP34" s="118"/>
      <c r="GQ34" s="118"/>
      <c r="GR34" s="118"/>
      <c r="GS34" s="118"/>
      <c r="GT34" s="118"/>
      <c r="GU34" s="118"/>
      <c r="GV34" s="118"/>
      <c r="GW34" s="118"/>
      <c r="GX34" s="118"/>
      <c r="GY34" s="118"/>
      <c r="GZ34" s="118"/>
      <c r="HA34" s="118"/>
      <c r="HB34" s="118"/>
      <c r="HC34" s="118"/>
      <c r="HD34" s="118"/>
      <c r="HE34" s="118"/>
      <c r="HF34" s="118"/>
      <c r="HG34" s="118"/>
      <c r="HH34" s="118"/>
      <c r="HI34" s="118"/>
      <c r="HJ34" s="118"/>
      <c r="HK34" s="118"/>
      <c r="HL34" s="118"/>
      <c r="HM34" s="118"/>
      <c r="HN34" s="118"/>
      <c r="HO34" s="118"/>
      <c r="HP34" s="118"/>
      <c r="HQ34" s="118"/>
      <c r="HR34" s="118"/>
      <c r="HS34" s="118"/>
      <c r="HT34" s="118"/>
      <c r="HU34" s="118"/>
      <c r="HV34" s="118"/>
      <c r="HW34" s="118"/>
      <c r="HX34" s="118"/>
      <c r="HY34" s="118"/>
      <c r="HZ34" s="118"/>
      <c r="IA34" s="118"/>
      <c r="IB34" s="118"/>
      <c r="IC34" s="118"/>
      <c r="ID34" s="118"/>
      <c r="IE34" s="118"/>
      <c r="IF34" s="118"/>
      <c r="IG34" s="118"/>
      <c r="IH34" s="118"/>
      <c r="II34" s="118"/>
      <c r="IJ34" s="118"/>
      <c r="IK34" s="118"/>
      <c r="IL34" s="118"/>
      <c r="IM34" s="118"/>
      <c r="IN34" s="118"/>
      <c r="IO34" s="118"/>
      <c r="IP34" s="118"/>
      <c r="IQ34" s="118"/>
      <c r="IR34" s="118"/>
      <c r="IS34" s="118"/>
      <c r="IT34" s="118"/>
      <c r="IU34" s="118"/>
      <c r="IV34" s="118"/>
      <c r="IW34" s="118"/>
    </row>
    <row r="35" customFormat="false" ht="15" hidden="false" customHeight="false" outlineLevel="0" collapsed="false">
      <c r="A35" s="118"/>
      <c r="B35" s="118"/>
      <c r="C35" s="118"/>
      <c r="D35" s="118"/>
      <c r="E35" s="118"/>
      <c r="F35" s="118"/>
      <c r="G35" s="118"/>
      <c r="H35" s="118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18"/>
      <c r="CS35" s="118"/>
      <c r="CT35" s="118"/>
      <c r="CU35" s="118"/>
      <c r="CV35" s="118"/>
      <c r="CW35" s="118"/>
      <c r="CX35" s="118"/>
      <c r="CY35" s="118"/>
      <c r="CZ35" s="118"/>
      <c r="DA35" s="118"/>
      <c r="DB35" s="118"/>
      <c r="DC35" s="118"/>
      <c r="DD35" s="118"/>
      <c r="DE35" s="118"/>
      <c r="DF35" s="118"/>
      <c r="DG35" s="118"/>
      <c r="DH35" s="118"/>
      <c r="DI35" s="118"/>
      <c r="DJ35" s="118"/>
      <c r="DK35" s="118"/>
      <c r="DL35" s="118"/>
      <c r="DM35" s="118"/>
      <c r="DN35" s="118"/>
      <c r="DO35" s="118"/>
      <c r="DP35" s="118"/>
      <c r="DQ35" s="118"/>
      <c r="DR35" s="118"/>
      <c r="DS35" s="118"/>
      <c r="DT35" s="118"/>
      <c r="DU35" s="118"/>
      <c r="DV35" s="118"/>
      <c r="DW35" s="118"/>
      <c r="DX35" s="118"/>
      <c r="DY35" s="118"/>
      <c r="DZ35" s="118"/>
      <c r="EA35" s="118"/>
      <c r="EB35" s="118"/>
      <c r="EC35" s="118"/>
      <c r="ED35" s="118"/>
      <c r="EE35" s="118"/>
      <c r="EF35" s="118"/>
      <c r="EG35" s="118"/>
      <c r="EH35" s="118"/>
      <c r="EI35" s="118"/>
      <c r="EJ35" s="118"/>
      <c r="EK35" s="118"/>
      <c r="EL35" s="118"/>
      <c r="EM35" s="118"/>
      <c r="EN35" s="118"/>
      <c r="EO35" s="118"/>
      <c r="EP35" s="118"/>
      <c r="EQ35" s="118"/>
      <c r="ER35" s="118"/>
      <c r="ES35" s="118"/>
      <c r="ET35" s="118"/>
      <c r="EU35" s="118"/>
      <c r="EV35" s="118"/>
      <c r="EW35" s="118"/>
      <c r="EX35" s="118"/>
      <c r="EY35" s="118"/>
      <c r="EZ35" s="118"/>
      <c r="FA35" s="118"/>
      <c r="FB35" s="118"/>
      <c r="FC35" s="118"/>
      <c r="FD35" s="118"/>
      <c r="FE35" s="118"/>
      <c r="FF35" s="118"/>
      <c r="FG35" s="118"/>
      <c r="FH35" s="118"/>
      <c r="FI35" s="118"/>
      <c r="FJ35" s="118"/>
      <c r="FK35" s="118"/>
      <c r="FL35" s="118"/>
      <c r="FM35" s="118"/>
      <c r="FN35" s="118"/>
      <c r="FO35" s="118"/>
      <c r="FP35" s="118"/>
      <c r="FQ35" s="118"/>
      <c r="FR35" s="118"/>
      <c r="FS35" s="118"/>
      <c r="FT35" s="118"/>
      <c r="FU35" s="118"/>
      <c r="FV35" s="118"/>
      <c r="FW35" s="118"/>
      <c r="FX35" s="118"/>
      <c r="FY35" s="118"/>
      <c r="FZ35" s="118"/>
      <c r="GA35" s="118"/>
      <c r="GB35" s="118"/>
      <c r="GC35" s="118"/>
      <c r="GD35" s="118"/>
      <c r="GE35" s="118"/>
      <c r="GF35" s="118"/>
      <c r="GG35" s="118"/>
      <c r="GH35" s="118"/>
      <c r="GI35" s="118"/>
      <c r="GJ35" s="118"/>
      <c r="GK35" s="118"/>
      <c r="GL35" s="118"/>
      <c r="GM35" s="118"/>
      <c r="GN35" s="118"/>
      <c r="GO35" s="118"/>
      <c r="GP35" s="118"/>
      <c r="GQ35" s="118"/>
      <c r="GR35" s="118"/>
      <c r="GS35" s="118"/>
      <c r="GT35" s="118"/>
      <c r="GU35" s="118"/>
      <c r="GV35" s="118"/>
      <c r="GW35" s="118"/>
      <c r="GX35" s="118"/>
      <c r="GY35" s="118"/>
      <c r="GZ35" s="118"/>
      <c r="HA35" s="118"/>
      <c r="HB35" s="118"/>
      <c r="HC35" s="118"/>
      <c r="HD35" s="118"/>
      <c r="HE35" s="118"/>
      <c r="HF35" s="118"/>
      <c r="HG35" s="118"/>
      <c r="HH35" s="118"/>
      <c r="HI35" s="118"/>
      <c r="HJ35" s="118"/>
      <c r="HK35" s="118"/>
      <c r="HL35" s="118"/>
      <c r="HM35" s="118"/>
      <c r="HN35" s="118"/>
      <c r="HO35" s="118"/>
      <c r="HP35" s="118"/>
      <c r="HQ35" s="118"/>
      <c r="HR35" s="118"/>
      <c r="HS35" s="118"/>
      <c r="HT35" s="118"/>
      <c r="HU35" s="118"/>
      <c r="HV35" s="118"/>
      <c r="HW35" s="118"/>
      <c r="HX35" s="118"/>
      <c r="HY35" s="118"/>
      <c r="HZ35" s="118"/>
      <c r="IA35" s="118"/>
      <c r="IB35" s="118"/>
      <c r="IC35" s="118"/>
      <c r="ID35" s="118"/>
      <c r="IE35" s="118"/>
      <c r="IF35" s="118"/>
      <c r="IG35" s="118"/>
      <c r="IH35" s="118"/>
      <c r="II35" s="118"/>
      <c r="IJ35" s="118"/>
      <c r="IK35" s="118"/>
      <c r="IL35" s="118"/>
      <c r="IM35" s="118"/>
      <c r="IN35" s="118"/>
      <c r="IO35" s="118"/>
      <c r="IP35" s="118"/>
      <c r="IQ35" s="118"/>
      <c r="IR35" s="118"/>
      <c r="IS35" s="118"/>
      <c r="IT35" s="118"/>
      <c r="IU35" s="118"/>
      <c r="IV35" s="118"/>
      <c r="IW35" s="118"/>
    </row>
    <row r="36" customFormat="false" ht="15" hidden="false" customHeight="false" outlineLevel="0" collapsed="false">
      <c r="A36" s="118"/>
      <c r="B36" s="118"/>
      <c r="C36" s="118"/>
      <c r="D36" s="118"/>
      <c r="E36" s="118"/>
      <c r="F36" s="118"/>
      <c r="G36" s="118"/>
      <c r="H36" s="118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  <c r="CS36" s="118"/>
      <c r="CT36" s="118"/>
      <c r="CU36" s="118"/>
      <c r="CV36" s="118"/>
      <c r="CW36" s="118"/>
      <c r="CX36" s="118"/>
      <c r="CY36" s="118"/>
      <c r="CZ36" s="118"/>
      <c r="DA36" s="118"/>
      <c r="DB36" s="118"/>
      <c r="DC36" s="118"/>
      <c r="DD36" s="118"/>
      <c r="DE36" s="118"/>
      <c r="DF36" s="118"/>
      <c r="DG36" s="118"/>
      <c r="DH36" s="118"/>
      <c r="DI36" s="118"/>
      <c r="DJ36" s="118"/>
      <c r="DK36" s="118"/>
      <c r="DL36" s="118"/>
      <c r="DM36" s="118"/>
      <c r="DN36" s="118"/>
      <c r="DO36" s="118"/>
      <c r="DP36" s="118"/>
      <c r="DQ36" s="118"/>
      <c r="DR36" s="118"/>
      <c r="DS36" s="118"/>
      <c r="DT36" s="118"/>
      <c r="DU36" s="118"/>
      <c r="DV36" s="118"/>
      <c r="DW36" s="118"/>
      <c r="DX36" s="118"/>
      <c r="DY36" s="118"/>
      <c r="DZ36" s="118"/>
      <c r="EA36" s="118"/>
      <c r="EB36" s="118"/>
      <c r="EC36" s="118"/>
      <c r="ED36" s="118"/>
      <c r="EE36" s="118"/>
      <c r="EF36" s="118"/>
      <c r="EG36" s="118"/>
      <c r="EH36" s="118"/>
      <c r="EI36" s="118"/>
      <c r="EJ36" s="118"/>
      <c r="EK36" s="118"/>
      <c r="EL36" s="118"/>
      <c r="EM36" s="118"/>
      <c r="EN36" s="118"/>
      <c r="EO36" s="118"/>
      <c r="EP36" s="118"/>
      <c r="EQ36" s="118"/>
      <c r="ER36" s="118"/>
      <c r="ES36" s="118"/>
      <c r="ET36" s="118"/>
      <c r="EU36" s="118"/>
      <c r="EV36" s="118"/>
      <c r="EW36" s="118"/>
      <c r="EX36" s="118"/>
      <c r="EY36" s="118"/>
      <c r="EZ36" s="118"/>
      <c r="FA36" s="118"/>
      <c r="FB36" s="118"/>
      <c r="FC36" s="118"/>
      <c r="FD36" s="118"/>
      <c r="FE36" s="118"/>
      <c r="FF36" s="118"/>
      <c r="FG36" s="118"/>
      <c r="FH36" s="118"/>
      <c r="FI36" s="118"/>
      <c r="FJ36" s="118"/>
      <c r="FK36" s="118"/>
      <c r="FL36" s="118"/>
      <c r="FM36" s="118"/>
      <c r="FN36" s="118"/>
      <c r="FO36" s="118"/>
      <c r="FP36" s="118"/>
      <c r="FQ36" s="118"/>
      <c r="FR36" s="118"/>
      <c r="FS36" s="118"/>
      <c r="FT36" s="118"/>
      <c r="FU36" s="118"/>
      <c r="FV36" s="118"/>
      <c r="FW36" s="118"/>
      <c r="FX36" s="118"/>
      <c r="FY36" s="118"/>
      <c r="FZ36" s="118"/>
      <c r="GA36" s="118"/>
      <c r="GB36" s="118"/>
      <c r="GC36" s="118"/>
      <c r="GD36" s="118"/>
      <c r="GE36" s="118"/>
      <c r="GF36" s="118"/>
      <c r="GG36" s="118"/>
      <c r="GH36" s="118"/>
      <c r="GI36" s="118"/>
      <c r="GJ36" s="118"/>
      <c r="GK36" s="118"/>
      <c r="GL36" s="118"/>
      <c r="GM36" s="118"/>
      <c r="GN36" s="118"/>
      <c r="GO36" s="118"/>
      <c r="GP36" s="118"/>
      <c r="GQ36" s="118"/>
      <c r="GR36" s="118"/>
      <c r="GS36" s="118"/>
      <c r="GT36" s="118"/>
      <c r="GU36" s="118"/>
      <c r="GV36" s="118"/>
      <c r="GW36" s="118"/>
      <c r="GX36" s="118"/>
      <c r="GY36" s="118"/>
      <c r="GZ36" s="118"/>
      <c r="HA36" s="118"/>
      <c r="HB36" s="118"/>
      <c r="HC36" s="118"/>
      <c r="HD36" s="118"/>
      <c r="HE36" s="118"/>
      <c r="HF36" s="118"/>
      <c r="HG36" s="118"/>
      <c r="HH36" s="118"/>
      <c r="HI36" s="118"/>
      <c r="HJ36" s="118"/>
      <c r="HK36" s="118"/>
      <c r="HL36" s="118"/>
      <c r="HM36" s="118"/>
      <c r="HN36" s="118"/>
      <c r="HO36" s="118"/>
      <c r="HP36" s="118"/>
      <c r="HQ36" s="118"/>
      <c r="HR36" s="118"/>
      <c r="HS36" s="118"/>
      <c r="HT36" s="118"/>
      <c r="HU36" s="118"/>
      <c r="HV36" s="118"/>
      <c r="HW36" s="118"/>
      <c r="HX36" s="118"/>
      <c r="HY36" s="118"/>
      <c r="HZ36" s="118"/>
      <c r="IA36" s="118"/>
      <c r="IB36" s="118"/>
      <c r="IC36" s="118"/>
      <c r="ID36" s="118"/>
      <c r="IE36" s="118"/>
      <c r="IF36" s="118"/>
      <c r="IG36" s="118"/>
      <c r="IH36" s="118"/>
      <c r="II36" s="118"/>
      <c r="IJ36" s="118"/>
      <c r="IK36" s="118"/>
      <c r="IL36" s="118"/>
      <c r="IM36" s="118"/>
      <c r="IN36" s="118"/>
      <c r="IO36" s="118"/>
      <c r="IP36" s="118"/>
      <c r="IQ36" s="118"/>
      <c r="IR36" s="118"/>
      <c r="IS36" s="118"/>
      <c r="IT36" s="118"/>
      <c r="IU36" s="118"/>
      <c r="IV36" s="118"/>
      <c r="IW36" s="118"/>
    </row>
    <row r="37" customFormat="false" ht="15" hidden="false" customHeight="false" outlineLevel="0" collapsed="false">
      <c r="A37" s="118"/>
      <c r="B37" s="118"/>
      <c r="C37" s="118"/>
      <c r="D37" s="118"/>
      <c r="E37" s="118"/>
      <c r="F37" s="118"/>
      <c r="G37" s="118"/>
      <c r="H37" s="118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8"/>
      <c r="CB37" s="118"/>
      <c r="CC37" s="118"/>
      <c r="CD37" s="118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  <c r="CS37" s="118"/>
      <c r="CT37" s="118"/>
      <c r="CU37" s="118"/>
      <c r="CV37" s="118"/>
      <c r="CW37" s="118"/>
      <c r="CX37" s="118"/>
      <c r="CY37" s="118"/>
      <c r="CZ37" s="118"/>
      <c r="DA37" s="118"/>
      <c r="DB37" s="118"/>
      <c r="DC37" s="118"/>
      <c r="DD37" s="118"/>
      <c r="DE37" s="118"/>
      <c r="DF37" s="118"/>
      <c r="DG37" s="118"/>
      <c r="DH37" s="118"/>
      <c r="DI37" s="118"/>
      <c r="DJ37" s="118"/>
      <c r="DK37" s="118"/>
      <c r="DL37" s="118"/>
      <c r="DM37" s="118"/>
      <c r="DN37" s="118"/>
      <c r="DO37" s="118"/>
      <c r="DP37" s="118"/>
      <c r="DQ37" s="118"/>
      <c r="DR37" s="118"/>
      <c r="DS37" s="118"/>
      <c r="DT37" s="118"/>
      <c r="DU37" s="118"/>
      <c r="DV37" s="118"/>
      <c r="DW37" s="118"/>
      <c r="DX37" s="118"/>
      <c r="DY37" s="118"/>
      <c r="DZ37" s="118"/>
      <c r="EA37" s="118"/>
      <c r="EB37" s="118"/>
      <c r="EC37" s="118"/>
      <c r="ED37" s="118"/>
      <c r="EE37" s="118"/>
      <c r="EF37" s="118"/>
      <c r="EG37" s="118"/>
      <c r="EH37" s="118"/>
      <c r="EI37" s="118"/>
      <c r="EJ37" s="118"/>
      <c r="EK37" s="118"/>
      <c r="EL37" s="118"/>
      <c r="EM37" s="118"/>
      <c r="EN37" s="118"/>
      <c r="EO37" s="118"/>
      <c r="EP37" s="118"/>
      <c r="EQ37" s="118"/>
      <c r="ER37" s="118"/>
      <c r="ES37" s="118"/>
      <c r="ET37" s="118"/>
      <c r="EU37" s="118"/>
      <c r="EV37" s="118"/>
      <c r="EW37" s="118"/>
      <c r="EX37" s="118"/>
      <c r="EY37" s="118"/>
      <c r="EZ37" s="118"/>
      <c r="FA37" s="118"/>
      <c r="FB37" s="118"/>
      <c r="FC37" s="118"/>
      <c r="FD37" s="118"/>
      <c r="FE37" s="118"/>
      <c r="FF37" s="118"/>
      <c r="FG37" s="118"/>
      <c r="FH37" s="118"/>
      <c r="FI37" s="118"/>
      <c r="FJ37" s="118"/>
      <c r="FK37" s="118"/>
      <c r="FL37" s="118"/>
      <c r="FM37" s="118"/>
      <c r="FN37" s="118"/>
      <c r="FO37" s="118"/>
      <c r="FP37" s="118"/>
      <c r="FQ37" s="118"/>
      <c r="FR37" s="118"/>
      <c r="FS37" s="118"/>
      <c r="FT37" s="118"/>
      <c r="FU37" s="118"/>
      <c r="FV37" s="118"/>
      <c r="FW37" s="118"/>
      <c r="FX37" s="118"/>
      <c r="FY37" s="118"/>
      <c r="FZ37" s="118"/>
      <c r="GA37" s="118"/>
      <c r="GB37" s="118"/>
      <c r="GC37" s="118"/>
      <c r="GD37" s="118"/>
      <c r="GE37" s="118"/>
      <c r="GF37" s="118"/>
      <c r="GG37" s="118"/>
      <c r="GH37" s="118"/>
      <c r="GI37" s="118"/>
      <c r="GJ37" s="118"/>
      <c r="GK37" s="118"/>
      <c r="GL37" s="118"/>
      <c r="GM37" s="118"/>
      <c r="GN37" s="118"/>
      <c r="GO37" s="118"/>
      <c r="GP37" s="118"/>
      <c r="GQ37" s="118"/>
      <c r="GR37" s="118"/>
      <c r="GS37" s="118"/>
      <c r="GT37" s="118"/>
      <c r="GU37" s="118"/>
      <c r="GV37" s="118"/>
      <c r="GW37" s="118"/>
      <c r="GX37" s="118"/>
      <c r="GY37" s="118"/>
      <c r="GZ37" s="118"/>
      <c r="HA37" s="118"/>
      <c r="HB37" s="118"/>
      <c r="HC37" s="118"/>
      <c r="HD37" s="118"/>
      <c r="HE37" s="118"/>
      <c r="HF37" s="118"/>
      <c r="HG37" s="118"/>
      <c r="HH37" s="118"/>
      <c r="HI37" s="118"/>
      <c r="HJ37" s="118"/>
      <c r="HK37" s="118"/>
      <c r="HL37" s="118"/>
      <c r="HM37" s="118"/>
      <c r="HN37" s="118"/>
      <c r="HO37" s="118"/>
      <c r="HP37" s="118"/>
      <c r="HQ37" s="118"/>
      <c r="HR37" s="118"/>
      <c r="HS37" s="118"/>
      <c r="HT37" s="118"/>
      <c r="HU37" s="118"/>
      <c r="HV37" s="118"/>
      <c r="HW37" s="118"/>
      <c r="HX37" s="118"/>
      <c r="HY37" s="118"/>
      <c r="HZ37" s="118"/>
      <c r="IA37" s="118"/>
      <c r="IB37" s="118"/>
      <c r="IC37" s="118"/>
      <c r="ID37" s="118"/>
      <c r="IE37" s="118"/>
      <c r="IF37" s="118"/>
      <c r="IG37" s="118"/>
      <c r="IH37" s="118"/>
      <c r="II37" s="118"/>
      <c r="IJ37" s="118"/>
      <c r="IK37" s="118"/>
      <c r="IL37" s="118"/>
      <c r="IM37" s="118"/>
      <c r="IN37" s="118"/>
      <c r="IO37" s="118"/>
      <c r="IP37" s="118"/>
      <c r="IQ37" s="118"/>
      <c r="IR37" s="118"/>
      <c r="IS37" s="118"/>
      <c r="IT37" s="118"/>
      <c r="IU37" s="118"/>
      <c r="IV37" s="118"/>
      <c r="IW37" s="118"/>
    </row>
    <row r="38" customFormat="false" ht="15" hidden="false" customHeight="false" outlineLevel="0" collapsed="false">
      <c r="A38" s="118"/>
      <c r="B38" s="118"/>
      <c r="C38" s="118"/>
      <c r="D38" s="118"/>
      <c r="E38" s="118"/>
      <c r="F38" s="118"/>
      <c r="G38" s="118"/>
      <c r="H38" s="118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  <c r="CU38" s="118"/>
      <c r="CV38" s="118"/>
      <c r="CW38" s="118"/>
      <c r="CX38" s="118"/>
      <c r="CY38" s="118"/>
      <c r="CZ38" s="118"/>
      <c r="DA38" s="118"/>
      <c r="DB38" s="118"/>
      <c r="DC38" s="118"/>
      <c r="DD38" s="118"/>
      <c r="DE38" s="118"/>
      <c r="DF38" s="118"/>
      <c r="DG38" s="118"/>
      <c r="DH38" s="118"/>
      <c r="DI38" s="118"/>
      <c r="DJ38" s="118"/>
      <c r="DK38" s="118"/>
      <c r="DL38" s="118"/>
      <c r="DM38" s="118"/>
      <c r="DN38" s="118"/>
      <c r="DO38" s="118"/>
      <c r="DP38" s="118"/>
      <c r="DQ38" s="118"/>
      <c r="DR38" s="118"/>
      <c r="DS38" s="118"/>
      <c r="DT38" s="118"/>
      <c r="DU38" s="118"/>
      <c r="DV38" s="118"/>
      <c r="DW38" s="118"/>
      <c r="DX38" s="118"/>
      <c r="DY38" s="118"/>
      <c r="DZ38" s="118"/>
      <c r="EA38" s="118"/>
      <c r="EB38" s="118"/>
      <c r="EC38" s="118"/>
      <c r="ED38" s="118"/>
      <c r="EE38" s="118"/>
      <c r="EF38" s="118"/>
      <c r="EG38" s="118"/>
      <c r="EH38" s="118"/>
      <c r="EI38" s="118"/>
      <c r="EJ38" s="118"/>
      <c r="EK38" s="118"/>
      <c r="EL38" s="118"/>
      <c r="EM38" s="118"/>
      <c r="EN38" s="118"/>
      <c r="EO38" s="118"/>
      <c r="EP38" s="118"/>
      <c r="EQ38" s="118"/>
      <c r="ER38" s="118"/>
      <c r="ES38" s="118"/>
      <c r="ET38" s="118"/>
      <c r="EU38" s="118"/>
      <c r="EV38" s="118"/>
      <c r="EW38" s="118"/>
      <c r="EX38" s="118"/>
      <c r="EY38" s="118"/>
      <c r="EZ38" s="118"/>
      <c r="FA38" s="118"/>
      <c r="FB38" s="118"/>
      <c r="FC38" s="118"/>
      <c r="FD38" s="118"/>
      <c r="FE38" s="118"/>
      <c r="FF38" s="118"/>
      <c r="FG38" s="118"/>
      <c r="FH38" s="118"/>
      <c r="FI38" s="118"/>
      <c r="FJ38" s="118"/>
      <c r="FK38" s="118"/>
      <c r="FL38" s="118"/>
      <c r="FM38" s="118"/>
      <c r="FN38" s="118"/>
      <c r="FO38" s="118"/>
      <c r="FP38" s="118"/>
      <c r="FQ38" s="118"/>
      <c r="FR38" s="118"/>
      <c r="FS38" s="118"/>
      <c r="FT38" s="118"/>
      <c r="FU38" s="118"/>
      <c r="FV38" s="118"/>
      <c r="FW38" s="118"/>
      <c r="FX38" s="118"/>
      <c r="FY38" s="118"/>
      <c r="FZ38" s="118"/>
      <c r="GA38" s="118"/>
      <c r="GB38" s="118"/>
      <c r="GC38" s="118"/>
      <c r="GD38" s="118"/>
      <c r="GE38" s="118"/>
      <c r="GF38" s="118"/>
      <c r="GG38" s="118"/>
      <c r="GH38" s="118"/>
      <c r="GI38" s="118"/>
      <c r="GJ38" s="118"/>
      <c r="GK38" s="118"/>
      <c r="GL38" s="118"/>
      <c r="GM38" s="118"/>
      <c r="GN38" s="118"/>
      <c r="GO38" s="118"/>
      <c r="GP38" s="118"/>
      <c r="GQ38" s="118"/>
      <c r="GR38" s="118"/>
      <c r="GS38" s="118"/>
      <c r="GT38" s="118"/>
      <c r="GU38" s="118"/>
      <c r="GV38" s="118"/>
      <c r="GW38" s="118"/>
      <c r="GX38" s="118"/>
      <c r="GY38" s="118"/>
      <c r="GZ38" s="118"/>
      <c r="HA38" s="118"/>
      <c r="HB38" s="118"/>
      <c r="HC38" s="118"/>
      <c r="HD38" s="118"/>
      <c r="HE38" s="118"/>
      <c r="HF38" s="118"/>
      <c r="HG38" s="118"/>
      <c r="HH38" s="118"/>
      <c r="HI38" s="118"/>
      <c r="HJ38" s="118"/>
      <c r="HK38" s="118"/>
      <c r="HL38" s="118"/>
      <c r="HM38" s="118"/>
      <c r="HN38" s="118"/>
      <c r="HO38" s="118"/>
      <c r="HP38" s="118"/>
      <c r="HQ38" s="118"/>
      <c r="HR38" s="118"/>
      <c r="HS38" s="118"/>
      <c r="HT38" s="118"/>
      <c r="HU38" s="118"/>
      <c r="HV38" s="118"/>
      <c r="HW38" s="118"/>
      <c r="HX38" s="118"/>
      <c r="HY38" s="118"/>
      <c r="HZ38" s="118"/>
      <c r="IA38" s="118"/>
      <c r="IB38" s="118"/>
      <c r="IC38" s="118"/>
      <c r="ID38" s="118"/>
      <c r="IE38" s="118"/>
      <c r="IF38" s="118"/>
      <c r="IG38" s="118"/>
      <c r="IH38" s="118"/>
      <c r="II38" s="118"/>
      <c r="IJ38" s="118"/>
      <c r="IK38" s="118"/>
      <c r="IL38" s="118"/>
      <c r="IM38" s="118"/>
      <c r="IN38" s="118"/>
      <c r="IO38" s="118"/>
      <c r="IP38" s="118"/>
      <c r="IQ38" s="118"/>
      <c r="IR38" s="118"/>
      <c r="IS38" s="118"/>
      <c r="IT38" s="118"/>
      <c r="IU38" s="118"/>
      <c r="IV38" s="118"/>
      <c r="IW38" s="118"/>
    </row>
    <row r="39" customFormat="false" ht="15" hidden="false" customHeight="false" outlineLevel="0" collapsed="false">
      <c r="A39" s="118"/>
      <c r="B39" s="118"/>
      <c r="C39" s="118"/>
      <c r="D39" s="118"/>
      <c r="E39" s="118"/>
      <c r="F39" s="118"/>
      <c r="G39" s="118"/>
      <c r="H39" s="118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  <c r="CU39" s="118"/>
      <c r="CV39" s="118"/>
      <c r="CW39" s="118"/>
      <c r="CX39" s="118"/>
      <c r="CY39" s="118"/>
      <c r="CZ39" s="118"/>
      <c r="DA39" s="118"/>
      <c r="DB39" s="118"/>
      <c r="DC39" s="118"/>
      <c r="DD39" s="118"/>
      <c r="DE39" s="118"/>
      <c r="DF39" s="118"/>
      <c r="DG39" s="118"/>
      <c r="DH39" s="118"/>
      <c r="DI39" s="118"/>
      <c r="DJ39" s="118"/>
      <c r="DK39" s="118"/>
      <c r="DL39" s="118"/>
      <c r="DM39" s="118"/>
      <c r="DN39" s="118"/>
      <c r="DO39" s="118"/>
      <c r="DP39" s="118"/>
      <c r="DQ39" s="118"/>
      <c r="DR39" s="118"/>
      <c r="DS39" s="118"/>
      <c r="DT39" s="118"/>
      <c r="DU39" s="118"/>
      <c r="DV39" s="118"/>
      <c r="DW39" s="118"/>
      <c r="DX39" s="118"/>
      <c r="DY39" s="118"/>
      <c r="DZ39" s="118"/>
      <c r="EA39" s="118"/>
      <c r="EB39" s="118"/>
      <c r="EC39" s="118"/>
      <c r="ED39" s="118"/>
      <c r="EE39" s="118"/>
      <c r="EF39" s="118"/>
      <c r="EG39" s="118"/>
      <c r="EH39" s="118"/>
      <c r="EI39" s="118"/>
      <c r="EJ39" s="118"/>
      <c r="EK39" s="118"/>
      <c r="EL39" s="118"/>
      <c r="EM39" s="118"/>
      <c r="EN39" s="118"/>
      <c r="EO39" s="118"/>
      <c r="EP39" s="118"/>
      <c r="EQ39" s="118"/>
      <c r="ER39" s="118"/>
      <c r="ES39" s="118"/>
      <c r="ET39" s="118"/>
      <c r="EU39" s="118"/>
      <c r="EV39" s="118"/>
      <c r="EW39" s="118"/>
      <c r="EX39" s="118"/>
      <c r="EY39" s="118"/>
      <c r="EZ39" s="118"/>
      <c r="FA39" s="118"/>
      <c r="FB39" s="118"/>
      <c r="FC39" s="118"/>
      <c r="FD39" s="118"/>
      <c r="FE39" s="118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118"/>
      <c r="GL39" s="118"/>
      <c r="GM39" s="118"/>
      <c r="GN39" s="118"/>
      <c r="GO39" s="118"/>
      <c r="GP39" s="118"/>
      <c r="GQ39" s="118"/>
      <c r="GR39" s="118"/>
      <c r="GS39" s="118"/>
      <c r="GT39" s="118"/>
      <c r="GU39" s="118"/>
      <c r="GV39" s="118"/>
      <c r="GW39" s="118"/>
      <c r="GX39" s="118"/>
      <c r="GY39" s="118"/>
      <c r="GZ39" s="118"/>
      <c r="HA39" s="118"/>
      <c r="HB39" s="118"/>
      <c r="HC39" s="118"/>
      <c r="HD39" s="118"/>
      <c r="HE39" s="118"/>
      <c r="HF39" s="118"/>
      <c r="HG39" s="118"/>
      <c r="HH39" s="118"/>
      <c r="HI39" s="118"/>
      <c r="HJ39" s="118"/>
      <c r="HK39" s="118"/>
      <c r="HL39" s="118"/>
      <c r="HM39" s="118"/>
      <c r="HN39" s="118"/>
      <c r="HO39" s="118"/>
      <c r="HP39" s="118"/>
      <c r="HQ39" s="118"/>
      <c r="HR39" s="118"/>
      <c r="HS39" s="118"/>
      <c r="HT39" s="118"/>
      <c r="HU39" s="118"/>
      <c r="HV39" s="118"/>
      <c r="HW39" s="118"/>
      <c r="HX39" s="118"/>
      <c r="HY39" s="118"/>
      <c r="HZ39" s="118"/>
      <c r="IA39" s="118"/>
      <c r="IB39" s="118"/>
      <c r="IC39" s="118"/>
      <c r="ID39" s="118"/>
      <c r="IE39" s="118"/>
      <c r="IF39" s="118"/>
      <c r="IG39" s="118"/>
      <c r="IH39" s="118"/>
      <c r="II39" s="118"/>
      <c r="IJ39" s="118"/>
      <c r="IK39" s="118"/>
      <c r="IL39" s="118"/>
      <c r="IM39" s="118"/>
      <c r="IN39" s="118"/>
      <c r="IO39" s="118"/>
      <c r="IP39" s="118"/>
      <c r="IQ39" s="118"/>
      <c r="IR39" s="118"/>
      <c r="IS39" s="118"/>
      <c r="IT39" s="118"/>
      <c r="IU39" s="118"/>
      <c r="IV39" s="118"/>
      <c r="IW39" s="118"/>
    </row>
    <row r="40" customFormat="false" ht="15" hidden="false" customHeight="false" outlineLevel="0" collapsed="false">
      <c r="A40" s="118"/>
      <c r="B40" s="118"/>
      <c r="C40" s="118"/>
      <c r="D40" s="118"/>
      <c r="E40" s="118"/>
      <c r="F40" s="118"/>
      <c r="G40" s="118"/>
      <c r="H40" s="118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  <c r="DD40" s="118"/>
      <c r="DE40" s="118"/>
      <c r="DF40" s="118"/>
      <c r="DG40" s="118"/>
      <c r="DH40" s="118"/>
      <c r="DI40" s="118"/>
      <c r="DJ40" s="118"/>
      <c r="DK40" s="118"/>
      <c r="DL40" s="118"/>
      <c r="DM40" s="118"/>
      <c r="DN40" s="118"/>
      <c r="DO40" s="118"/>
      <c r="DP40" s="118"/>
      <c r="DQ40" s="118"/>
      <c r="DR40" s="118"/>
      <c r="DS40" s="118"/>
      <c r="DT40" s="118"/>
      <c r="DU40" s="118"/>
      <c r="DV40" s="118"/>
      <c r="DW40" s="118"/>
      <c r="DX40" s="118"/>
      <c r="DY40" s="118"/>
      <c r="DZ40" s="118"/>
      <c r="EA40" s="118"/>
      <c r="EB40" s="118"/>
      <c r="EC40" s="118"/>
      <c r="ED40" s="118"/>
      <c r="EE40" s="118"/>
      <c r="EF40" s="118"/>
      <c r="EG40" s="118"/>
      <c r="EH40" s="118"/>
      <c r="EI40" s="118"/>
      <c r="EJ40" s="118"/>
      <c r="EK40" s="118"/>
      <c r="EL40" s="118"/>
      <c r="EM40" s="118"/>
      <c r="EN40" s="118"/>
      <c r="EO40" s="118"/>
      <c r="EP40" s="118"/>
      <c r="EQ40" s="118"/>
      <c r="ER40" s="118"/>
      <c r="ES40" s="118"/>
      <c r="ET40" s="118"/>
      <c r="EU40" s="118"/>
      <c r="EV40" s="118"/>
      <c r="EW40" s="118"/>
      <c r="EX40" s="118"/>
      <c r="EY40" s="118"/>
      <c r="EZ40" s="118"/>
      <c r="FA40" s="118"/>
      <c r="FB40" s="118"/>
      <c r="FC40" s="118"/>
      <c r="FD40" s="118"/>
      <c r="FE40" s="118"/>
      <c r="FF40" s="118"/>
      <c r="FG40" s="118"/>
      <c r="FH40" s="118"/>
      <c r="FI40" s="118"/>
      <c r="FJ40" s="118"/>
      <c r="FK40" s="118"/>
      <c r="FL40" s="118"/>
      <c r="FM40" s="118"/>
      <c r="FN40" s="118"/>
      <c r="FO40" s="118"/>
      <c r="FP40" s="118"/>
      <c r="FQ40" s="118"/>
      <c r="FR40" s="118"/>
      <c r="FS40" s="118"/>
      <c r="FT40" s="118"/>
      <c r="FU40" s="118"/>
      <c r="FV40" s="118"/>
      <c r="FW40" s="118"/>
      <c r="FX40" s="118"/>
      <c r="FY40" s="118"/>
      <c r="FZ40" s="118"/>
      <c r="GA40" s="118"/>
      <c r="GB40" s="118"/>
      <c r="GC40" s="118"/>
      <c r="GD40" s="118"/>
      <c r="GE40" s="118"/>
      <c r="GF40" s="118"/>
      <c r="GG40" s="118"/>
      <c r="GH40" s="118"/>
      <c r="GI40" s="118"/>
      <c r="GJ40" s="118"/>
      <c r="GK40" s="118"/>
      <c r="GL40" s="118"/>
      <c r="GM40" s="118"/>
      <c r="GN40" s="118"/>
      <c r="GO40" s="118"/>
      <c r="GP40" s="118"/>
      <c r="GQ40" s="118"/>
      <c r="GR40" s="118"/>
      <c r="GS40" s="118"/>
      <c r="GT40" s="118"/>
      <c r="GU40" s="118"/>
      <c r="GV40" s="118"/>
      <c r="GW40" s="118"/>
      <c r="GX40" s="118"/>
      <c r="GY40" s="118"/>
      <c r="GZ40" s="118"/>
      <c r="HA40" s="118"/>
      <c r="HB40" s="118"/>
      <c r="HC40" s="118"/>
      <c r="HD40" s="118"/>
      <c r="HE40" s="118"/>
      <c r="HF40" s="118"/>
      <c r="HG40" s="118"/>
      <c r="HH40" s="118"/>
      <c r="HI40" s="118"/>
      <c r="HJ40" s="118"/>
      <c r="HK40" s="118"/>
      <c r="HL40" s="118"/>
      <c r="HM40" s="118"/>
      <c r="HN40" s="118"/>
      <c r="HO40" s="118"/>
      <c r="HP40" s="118"/>
      <c r="HQ40" s="118"/>
      <c r="HR40" s="118"/>
      <c r="HS40" s="118"/>
      <c r="HT40" s="118"/>
      <c r="HU40" s="118"/>
      <c r="HV40" s="118"/>
      <c r="HW40" s="118"/>
      <c r="HX40" s="118"/>
      <c r="HY40" s="118"/>
      <c r="HZ40" s="118"/>
      <c r="IA40" s="118"/>
      <c r="IB40" s="118"/>
      <c r="IC40" s="118"/>
      <c r="ID40" s="118"/>
      <c r="IE40" s="118"/>
      <c r="IF40" s="118"/>
      <c r="IG40" s="118"/>
      <c r="IH40" s="118"/>
      <c r="II40" s="118"/>
      <c r="IJ40" s="118"/>
      <c r="IK40" s="118"/>
      <c r="IL40" s="118"/>
      <c r="IM40" s="118"/>
      <c r="IN40" s="118"/>
      <c r="IO40" s="118"/>
      <c r="IP40" s="118"/>
      <c r="IQ40" s="118"/>
      <c r="IR40" s="118"/>
      <c r="IS40" s="118"/>
      <c r="IT40" s="118"/>
      <c r="IU40" s="118"/>
      <c r="IV40" s="118"/>
      <c r="IW40" s="118"/>
    </row>
    <row r="41" customFormat="false" ht="15" hidden="false" customHeight="false" outlineLevel="0" collapsed="false">
      <c r="A41" s="118"/>
      <c r="B41" s="118"/>
      <c r="C41" s="118"/>
      <c r="D41" s="118"/>
      <c r="E41" s="118"/>
      <c r="F41" s="118"/>
      <c r="G41" s="118"/>
      <c r="H41" s="118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118"/>
      <c r="CC41" s="118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118"/>
      <c r="CS41" s="118"/>
      <c r="CT41" s="118"/>
      <c r="CU41" s="118"/>
      <c r="CV41" s="118"/>
      <c r="CW41" s="118"/>
      <c r="CX41" s="118"/>
      <c r="CY41" s="118"/>
      <c r="CZ41" s="118"/>
      <c r="DA41" s="118"/>
      <c r="DB41" s="118"/>
      <c r="DC41" s="118"/>
      <c r="DD41" s="118"/>
      <c r="DE41" s="118"/>
      <c r="DF41" s="118"/>
      <c r="DG41" s="118"/>
      <c r="DH41" s="118"/>
      <c r="DI41" s="118"/>
      <c r="DJ41" s="118"/>
      <c r="DK41" s="118"/>
      <c r="DL41" s="118"/>
      <c r="DM41" s="118"/>
      <c r="DN41" s="118"/>
      <c r="DO41" s="118"/>
      <c r="DP41" s="118"/>
      <c r="DQ41" s="118"/>
      <c r="DR41" s="118"/>
      <c r="DS41" s="118"/>
      <c r="DT41" s="118"/>
      <c r="DU41" s="118"/>
      <c r="DV41" s="118"/>
      <c r="DW41" s="118"/>
      <c r="DX41" s="118"/>
      <c r="DY41" s="118"/>
      <c r="DZ41" s="118"/>
      <c r="EA41" s="118"/>
      <c r="EB41" s="118"/>
      <c r="EC41" s="118"/>
      <c r="ED41" s="118"/>
      <c r="EE41" s="118"/>
      <c r="EF41" s="118"/>
      <c r="EG41" s="118"/>
      <c r="EH41" s="118"/>
      <c r="EI41" s="118"/>
      <c r="EJ41" s="118"/>
      <c r="EK41" s="118"/>
      <c r="EL41" s="118"/>
      <c r="EM41" s="118"/>
      <c r="EN41" s="118"/>
      <c r="EO41" s="118"/>
      <c r="EP41" s="118"/>
      <c r="EQ41" s="118"/>
      <c r="ER41" s="118"/>
      <c r="ES41" s="118"/>
      <c r="ET41" s="118"/>
      <c r="EU41" s="118"/>
      <c r="EV41" s="118"/>
      <c r="EW41" s="118"/>
      <c r="EX41" s="118"/>
      <c r="EY41" s="118"/>
      <c r="EZ41" s="118"/>
      <c r="FA41" s="118"/>
      <c r="FB41" s="118"/>
      <c r="FC41" s="118"/>
      <c r="FD41" s="118"/>
      <c r="FE41" s="118"/>
      <c r="FF41" s="118"/>
      <c r="FG41" s="118"/>
      <c r="FH41" s="118"/>
      <c r="FI41" s="118"/>
      <c r="FJ41" s="118"/>
      <c r="FK41" s="118"/>
      <c r="FL41" s="118"/>
      <c r="FM41" s="118"/>
      <c r="FN41" s="118"/>
      <c r="FO41" s="118"/>
      <c r="FP41" s="118"/>
      <c r="FQ41" s="118"/>
      <c r="FR41" s="118"/>
      <c r="FS41" s="118"/>
      <c r="FT41" s="118"/>
      <c r="FU41" s="118"/>
      <c r="FV41" s="118"/>
      <c r="FW41" s="118"/>
      <c r="FX41" s="118"/>
      <c r="FY41" s="118"/>
      <c r="FZ41" s="118"/>
      <c r="GA41" s="118"/>
      <c r="GB41" s="118"/>
      <c r="GC41" s="118"/>
      <c r="GD41" s="118"/>
      <c r="GE41" s="118"/>
      <c r="GF41" s="118"/>
      <c r="GG41" s="118"/>
      <c r="GH41" s="118"/>
      <c r="GI41" s="118"/>
      <c r="GJ41" s="118"/>
      <c r="GK41" s="118"/>
      <c r="GL41" s="118"/>
      <c r="GM41" s="118"/>
      <c r="GN41" s="118"/>
      <c r="GO41" s="118"/>
      <c r="GP41" s="118"/>
      <c r="GQ41" s="118"/>
      <c r="GR41" s="118"/>
      <c r="GS41" s="118"/>
      <c r="GT41" s="118"/>
      <c r="GU41" s="118"/>
      <c r="GV41" s="118"/>
      <c r="GW41" s="118"/>
      <c r="GX41" s="118"/>
      <c r="GY41" s="118"/>
      <c r="GZ41" s="118"/>
      <c r="HA41" s="118"/>
      <c r="HB41" s="118"/>
      <c r="HC41" s="118"/>
      <c r="HD41" s="118"/>
      <c r="HE41" s="118"/>
      <c r="HF41" s="118"/>
      <c r="HG41" s="118"/>
      <c r="HH41" s="118"/>
      <c r="HI41" s="118"/>
      <c r="HJ41" s="118"/>
      <c r="HK41" s="118"/>
      <c r="HL41" s="118"/>
      <c r="HM41" s="118"/>
      <c r="HN41" s="118"/>
      <c r="HO41" s="118"/>
      <c r="HP41" s="118"/>
      <c r="HQ41" s="118"/>
      <c r="HR41" s="118"/>
      <c r="HS41" s="118"/>
      <c r="HT41" s="118"/>
      <c r="HU41" s="118"/>
      <c r="HV41" s="118"/>
      <c r="HW41" s="118"/>
      <c r="HX41" s="118"/>
      <c r="HY41" s="118"/>
      <c r="HZ41" s="118"/>
      <c r="IA41" s="118"/>
      <c r="IB41" s="118"/>
      <c r="IC41" s="118"/>
      <c r="ID41" s="118"/>
      <c r="IE41" s="118"/>
      <c r="IF41" s="118"/>
      <c r="IG41" s="118"/>
      <c r="IH41" s="118"/>
      <c r="II41" s="118"/>
      <c r="IJ41" s="118"/>
      <c r="IK41" s="118"/>
      <c r="IL41" s="118"/>
      <c r="IM41" s="118"/>
      <c r="IN41" s="118"/>
      <c r="IO41" s="118"/>
      <c r="IP41" s="118"/>
      <c r="IQ41" s="118"/>
      <c r="IR41" s="118"/>
      <c r="IS41" s="118"/>
      <c r="IT41" s="118"/>
      <c r="IU41" s="118"/>
      <c r="IV41" s="118"/>
      <c r="IW41" s="118"/>
    </row>
    <row r="42" customFormat="false" ht="15" hidden="false" customHeight="false" outlineLevel="0" collapsed="false">
      <c r="A42" s="118"/>
      <c r="B42" s="118"/>
      <c r="C42" s="118"/>
      <c r="D42" s="118"/>
      <c r="E42" s="118"/>
      <c r="F42" s="118"/>
      <c r="G42" s="118"/>
      <c r="H42" s="118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  <c r="CU42" s="118"/>
      <c r="CV42" s="118"/>
      <c r="CW42" s="118"/>
      <c r="CX42" s="118"/>
      <c r="CY42" s="118"/>
      <c r="CZ42" s="118"/>
      <c r="DA42" s="118"/>
      <c r="DB42" s="118"/>
      <c r="DC42" s="118"/>
      <c r="DD42" s="118"/>
      <c r="DE42" s="118"/>
      <c r="DF42" s="118"/>
      <c r="DG42" s="118"/>
      <c r="DH42" s="118"/>
      <c r="DI42" s="118"/>
      <c r="DJ42" s="118"/>
      <c r="DK42" s="118"/>
      <c r="DL42" s="118"/>
      <c r="DM42" s="118"/>
      <c r="DN42" s="118"/>
      <c r="DO42" s="118"/>
      <c r="DP42" s="118"/>
      <c r="DQ42" s="118"/>
      <c r="DR42" s="118"/>
      <c r="DS42" s="118"/>
      <c r="DT42" s="118"/>
      <c r="DU42" s="118"/>
      <c r="DV42" s="118"/>
      <c r="DW42" s="118"/>
      <c r="DX42" s="118"/>
      <c r="DY42" s="118"/>
      <c r="DZ42" s="118"/>
      <c r="EA42" s="118"/>
      <c r="EB42" s="118"/>
      <c r="EC42" s="118"/>
      <c r="ED42" s="118"/>
      <c r="EE42" s="118"/>
      <c r="EF42" s="118"/>
      <c r="EG42" s="118"/>
      <c r="EH42" s="118"/>
      <c r="EI42" s="118"/>
      <c r="EJ42" s="118"/>
      <c r="EK42" s="118"/>
      <c r="EL42" s="118"/>
      <c r="EM42" s="118"/>
      <c r="EN42" s="118"/>
      <c r="EO42" s="118"/>
      <c r="EP42" s="118"/>
      <c r="EQ42" s="118"/>
      <c r="ER42" s="118"/>
      <c r="ES42" s="118"/>
      <c r="ET42" s="118"/>
      <c r="EU42" s="118"/>
      <c r="EV42" s="118"/>
      <c r="EW42" s="118"/>
      <c r="EX42" s="118"/>
      <c r="EY42" s="118"/>
      <c r="EZ42" s="118"/>
      <c r="FA42" s="118"/>
      <c r="FB42" s="118"/>
      <c r="FC42" s="118"/>
      <c r="FD42" s="118"/>
      <c r="FE42" s="118"/>
      <c r="FF42" s="118"/>
      <c r="FG42" s="118"/>
      <c r="FH42" s="118"/>
      <c r="FI42" s="118"/>
      <c r="FJ42" s="118"/>
      <c r="FK42" s="118"/>
      <c r="FL42" s="118"/>
      <c r="FM42" s="118"/>
      <c r="FN42" s="118"/>
      <c r="FO42" s="118"/>
      <c r="FP42" s="118"/>
      <c r="FQ42" s="118"/>
      <c r="FR42" s="118"/>
      <c r="FS42" s="118"/>
      <c r="FT42" s="118"/>
      <c r="FU42" s="118"/>
      <c r="FV42" s="118"/>
      <c r="FW42" s="118"/>
      <c r="FX42" s="118"/>
      <c r="FY42" s="118"/>
      <c r="FZ42" s="118"/>
      <c r="GA42" s="118"/>
      <c r="GB42" s="118"/>
      <c r="GC42" s="118"/>
      <c r="GD42" s="118"/>
      <c r="GE42" s="118"/>
      <c r="GF42" s="118"/>
      <c r="GG42" s="118"/>
      <c r="GH42" s="118"/>
      <c r="GI42" s="118"/>
      <c r="GJ42" s="118"/>
      <c r="GK42" s="118"/>
      <c r="GL42" s="118"/>
      <c r="GM42" s="118"/>
      <c r="GN42" s="118"/>
      <c r="GO42" s="118"/>
      <c r="GP42" s="118"/>
      <c r="GQ42" s="118"/>
      <c r="GR42" s="118"/>
      <c r="GS42" s="118"/>
      <c r="GT42" s="118"/>
      <c r="GU42" s="118"/>
      <c r="GV42" s="118"/>
      <c r="GW42" s="118"/>
      <c r="GX42" s="118"/>
      <c r="GY42" s="118"/>
      <c r="GZ42" s="118"/>
      <c r="HA42" s="118"/>
      <c r="HB42" s="118"/>
      <c r="HC42" s="118"/>
      <c r="HD42" s="118"/>
      <c r="HE42" s="118"/>
      <c r="HF42" s="118"/>
      <c r="HG42" s="118"/>
      <c r="HH42" s="118"/>
      <c r="HI42" s="118"/>
      <c r="HJ42" s="118"/>
      <c r="HK42" s="118"/>
      <c r="HL42" s="118"/>
      <c r="HM42" s="118"/>
      <c r="HN42" s="118"/>
      <c r="HO42" s="118"/>
      <c r="HP42" s="118"/>
      <c r="HQ42" s="118"/>
      <c r="HR42" s="118"/>
      <c r="HS42" s="118"/>
      <c r="HT42" s="118"/>
      <c r="HU42" s="118"/>
      <c r="HV42" s="118"/>
      <c r="HW42" s="118"/>
      <c r="HX42" s="118"/>
      <c r="HY42" s="118"/>
      <c r="HZ42" s="118"/>
      <c r="IA42" s="118"/>
      <c r="IB42" s="118"/>
      <c r="IC42" s="118"/>
      <c r="ID42" s="118"/>
      <c r="IE42" s="118"/>
      <c r="IF42" s="118"/>
      <c r="IG42" s="118"/>
      <c r="IH42" s="118"/>
      <c r="II42" s="118"/>
      <c r="IJ42" s="118"/>
      <c r="IK42" s="118"/>
      <c r="IL42" s="118"/>
      <c r="IM42" s="118"/>
      <c r="IN42" s="118"/>
      <c r="IO42" s="118"/>
      <c r="IP42" s="118"/>
      <c r="IQ42" s="118"/>
      <c r="IR42" s="118"/>
      <c r="IS42" s="118"/>
      <c r="IT42" s="118"/>
      <c r="IU42" s="118"/>
      <c r="IV42" s="118"/>
      <c r="IW42" s="118"/>
    </row>
    <row r="43" customFormat="false" ht="15" hidden="false" customHeight="false" outlineLevel="0" collapsed="false">
      <c r="A43" s="118"/>
      <c r="B43" s="118"/>
      <c r="C43" s="118"/>
      <c r="D43" s="118"/>
      <c r="E43" s="118"/>
      <c r="F43" s="118"/>
      <c r="G43" s="118"/>
      <c r="H43" s="118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118"/>
      <c r="DG43" s="118"/>
      <c r="DH43" s="118"/>
      <c r="DI43" s="118"/>
      <c r="DJ43" s="118"/>
      <c r="DK43" s="118"/>
      <c r="DL43" s="118"/>
      <c r="DM43" s="118"/>
      <c r="DN43" s="118"/>
      <c r="DO43" s="118"/>
      <c r="DP43" s="118"/>
      <c r="DQ43" s="118"/>
      <c r="DR43" s="118"/>
      <c r="DS43" s="118"/>
      <c r="DT43" s="118"/>
      <c r="DU43" s="118"/>
      <c r="DV43" s="118"/>
      <c r="DW43" s="118"/>
      <c r="DX43" s="118"/>
      <c r="DY43" s="118"/>
      <c r="DZ43" s="118"/>
      <c r="EA43" s="118"/>
      <c r="EB43" s="118"/>
      <c r="EC43" s="118"/>
      <c r="ED43" s="118"/>
      <c r="EE43" s="118"/>
      <c r="EF43" s="118"/>
      <c r="EG43" s="118"/>
      <c r="EH43" s="118"/>
      <c r="EI43" s="118"/>
      <c r="EJ43" s="118"/>
      <c r="EK43" s="118"/>
      <c r="EL43" s="118"/>
      <c r="EM43" s="118"/>
      <c r="EN43" s="118"/>
      <c r="EO43" s="118"/>
      <c r="EP43" s="118"/>
      <c r="EQ43" s="118"/>
      <c r="ER43" s="118"/>
      <c r="ES43" s="118"/>
      <c r="ET43" s="118"/>
      <c r="EU43" s="118"/>
      <c r="EV43" s="118"/>
      <c r="EW43" s="118"/>
      <c r="EX43" s="118"/>
      <c r="EY43" s="118"/>
      <c r="EZ43" s="118"/>
      <c r="FA43" s="118"/>
      <c r="FB43" s="118"/>
      <c r="FC43" s="118"/>
      <c r="FD43" s="118"/>
      <c r="FE43" s="118"/>
      <c r="FF43" s="118"/>
      <c r="FG43" s="118"/>
      <c r="FH43" s="118"/>
      <c r="FI43" s="118"/>
      <c r="FJ43" s="118"/>
      <c r="FK43" s="118"/>
      <c r="FL43" s="118"/>
      <c r="FM43" s="118"/>
      <c r="FN43" s="118"/>
      <c r="FO43" s="118"/>
      <c r="FP43" s="118"/>
      <c r="FQ43" s="118"/>
      <c r="FR43" s="118"/>
      <c r="FS43" s="118"/>
      <c r="FT43" s="118"/>
      <c r="FU43" s="118"/>
      <c r="FV43" s="118"/>
      <c r="FW43" s="118"/>
      <c r="FX43" s="118"/>
      <c r="FY43" s="118"/>
      <c r="FZ43" s="118"/>
      <c r="GA43" s="118"/>
      <c r="GB43" s="118"/>
      <c r="GC43" s="118"/>
      <c r="GD43" s="118"/>
      <c r="GE43" s="118"/>
      <c r="GF43" s="118"/>
      <c r="GG43" s="118"/>
      <c r="GH43" s="118"/>
      <c r="GI43" s="118"/>
      <c r="GJ43" s="118"/>
      <c r="GK43" s="118"/>
      <c r="GL43" s="118"/>
      <c r="GM43" s="118"/>
      <c r="GN43" s="118"/>
      <c r="GO43" s="118"/>
      <c r="GP43" s="118"/>
      <c r="GQ43" s="118"/>
      <c r="GR43" s="118"/>
      <c r="GS43" s="118"/>
      <c r="GT43" s="118"/>
      <c r="GU43" s="118"/>
      <c r="GV43" s="118"/>
      <c r="GW43" s="118"/>
      <c r="GX43" s="118"/>
      <c r="GY43" s="118"/>
      <c r="GZ43" s="118"/>
      <c r="HA43" s="118"/>
      <c r="HB43" s="118"/>
      <c r="HC43" s="118"/>
      <c r="HD43" s="118"/>
      <c r="HE43" s="118"/>
      <c r="HF43" s="118"/>
      <c r="HG43" s="118"/>
      <c r="HH43" s="118"/>
      <c r="HI43" s="118"/>
      <c r="HJ43" s="118"/>
      <c r="HK43" s="118"/>
      <c r="HL43" s="118"/>
      <c r="HM43" s="118"/>
      <c r="HN43" s="118"/>
      <c r="HO43" s="118"/>
      <c r="HP43" s="118"/>
      <c r="HQ43" s="118"/>
      <c r="HR43" s="118"/>
      <c r="HS43" s="118"/>
      <c r="HT43" s="118"/>
      <c r="HU43" s="118"/>
      <c r="HV43" s="118"/>
      <c r="HW43" s="118"/>
      <c r="HX43" s="118"/>
      <c r="HY43" s="118"/>
      <c r="HZ43" s="118"/>
      <c r="IA43" s="118"/>
      <c r="IB43" s="118"/>
      <c r="IC43" s="118"/>
      <c r="ID43" s="118"/>
      <c r="IE43" s="118"/>
      <c r="IF43" s="118"/>
      <c r="IG43" s="118"/>
      <c r="IH43" s="118"/>
      <c r="II43" s="118"/>
      <c r="IJ43" s="118"/>
      <c r="IK43" s="118"/>
      <c r="IL43" s="118"/>
      <c r="IM43" s="118"/>
      <c r="IN43" s="118"/>
      <c r="IO43" s="118"/>
      <c r="IP43" s="118"/>
      <c r="IQ43" s="118"/>
      <c r="IR43" s="118"/>
      <c r="IS43" s="118"/>
      <c r="IT43" s="118"/>
      <c r="IU43" s="118"/>
      <c r="IV43" s="118"/>
      <c r="IW43" s="118"/>
    </row>
    <row r="44" customFormat="false" ht="15" hidden="false" customHeight="false" outlineLevel="0" collapsed="false">
      <c r="A44" s="118"/>
      <c r="B44" s="118"/>
      <c r="C44" s="118"/>
      <c r="D44" s="118"/>
      <c r="E44" s="118"/>
      <c r="F44" s="118"/>
      <c r="G44" s="118"/>
      <c r="H44" s="118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  <c r="CU44" s="118"/>
      <c r="CV44" s="118"/>
      <c r="CW44" s="118"/>
      <c r="CX44" s="118"/>
      <c r="CY44" s="118"/>
      <c r="CZ44" s="118"/>
      <c r="DA44" s="118"/>
      <c r="DB44" s="118"/>
      <c r="DC44" s="118"/>
      <c r="DD44" s="118"/>
      <c r="DE44" s="118"/>
      <c r="DF44" s="118"/>
      <c r="DG44" s="118"/>
      <c r="DH44" s="118"/>
      <c r="DI44" s="118"/>
      <c r="DJ44" s="118"/>
      <c r="DK44" s="118"/>
      <c r="DL44" s="118"/>
      <c r="DM44" s="118"/>
      <c r="DN44" s="118"/>
      <c r="DO44" s="118"/>
      <c r="DP44" s="118"/>
      <c r="DQ44" s="118"/>
      <c r="DR44" s="118"/>
      <c r="DS44" s="118"/>
      <c r="DT44" s="118"/>
      <c r="DU44" s="118"/>
      <c r="DV44" s="118"/>
      <c r="DW44" s="118"/>
      <c r="DX44" s="118"/>
      <c r="DY44" s="118"/>
      <c r="DZ44" s="118"/>
      <c r="EA44" s="118"/>
      <c r="EB44" s="118"/>
      <c r="EC44" s="118"/>
      <c r="ED44" s="118"/>
      <c r="EE44" s="118"/>
      <c r="EF44" s="118"/>
      <c r="EG44" s="118"/>
      <c r="EH44" s="118"/>
      <c r="EI44" s="118"/>
      <c r="EJ44" s="118"/>
      <c r="EK44" s="118"/>
      <c r="EL44" s="118"/>
      <c r="EM44" s="118"/>
      <c r="EN44" s="118"/>
      <c r="EO44" s="118"/>
      <c r="EP44" s="118"/>
      <c r="EQ44" s="118"/>
      <c r="ER44" s="118"/>
      <c r="ES44" s="118"/>
      <c r="ET44" s="118"/>
      <c r="EU44" s="118"/>
      <c r="EV44" s="118"/>
      <c r="EW44" s="118"/>
      <c r="EX44" s="118"/>
      <c r="EY44" s="118"/>
      <c r="EZ44" s="118"/>
      <c r="FA44" s="118"/>
      <c r="FB44" s="118"/>
      <c r="FC44" s="118"/>
      <c r="FD44" s="118"/>
      <c r="FE44" s="118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118"/>
      <c r="GL44" s="118"/>
      <c r="GM44" s="118"/>
      <c r="GN44" s="118"/>
      <c r="GO44" s="118"/>
      <c r="GP44" s="118"/>
      <c r="GQ44" s="118"/>
      <c r="GR44" s="118"/>
      <c r="GS44" s="118"/>
      <c r="GT44" s="118"/>
      <c r="GU44" s="118"/>
      <c r="GV44" s="118"/>
      <c r="GW44" s="118"/>
      <c r="GX44" s="118"/>
      <c r="GY44" s="118"/>
      <c r="GZ44" s="118"/>
      <c r="HA44" s="118"/>
      <c r="HB44" s="118"/>
      <c r="HC44" s="118"/>
      <c r="HD44" s="118"/>
      <c r="HE44" s="118"/>
      <c r="HF44" s="118"/>
      <c r="HG44" s="118"/>
      <c r="HH44" s="118"/>
      <c r="HI44" s="118"/>
      <c r="HJ44" s="118"/>
      <c r="HK44" s="118"/>
      <c r="HL44" s="118"/>
      <c r="HM44" s="118"/>
      <c r="HN44" s="118"/>
      <c r="HO44" s="118"/>
      <c r="HP44" s="118"/>
      <c r="HQ44" s="118"/>
      <c r="HR44" s="118"/>
      <c r="HS44" s="118"/>
      <c r="HT44" s="118"/>
      <c r="HU44" s="118"/>
      <c r="HV44" s="118"/>
      <c r="HW44" s="118"/>
      <c r="HX44" s="118"/>
      <c r="HY44" s="118"/>
      <c r="HZ44" s="118"/>
      <c r="IA44" s="118"/>
      <c r="IB44" s="118"/>
      <c r="IC44" s="118"/>
      <c r="ID44" s="118"/>
      <c r="IE44" s="118"/>
      <c r="IF44" s="118"/>
      <c r="IG44" s="118"/>
      <c r="IH44" s="118"/>
      <c r="II44" s="118"/>
      <c r="IJ44" s="118"/>
      <c r="IK44" s="118"/>
      <c r="IL44" s="118"/>
      <c r="IM44" s="118"/>
      <c r="IN44" s="118"/>
      <c r="IO44" s="118"/>
      <c r="IP44" s="118"/>
      <c r="IQ44" s="118"/>
      <c r="IR44" s="118"/>
      <c r="IS44" s="118"/>
      <c r="IT44" s="118"/>
      <c r="IU44" s="118"/>
      <c r="IV44" s="118"/>
      <c r="IW44" s="118"/>
    </row>
    <row r="45" customFormat="false" ht="15" hidden="false" customHeight="false" outlineLevel="0" collapsed="false">
      <c r="A45" s="118"/>
      <c r="B45" s="118"/>
      <c r="C45" s="118"/>
      <c r="D45" s="118"/>
      <c r="E45" s="118"/>
      <c r="F45" s="118"/>
      <c r="G45" s="118"/>
      <c r="H45" s="118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  <c r="CB45" s="118"/>
      <c r="CC45" s="118"/>
      <c r="CD45" s="118"/>
      <c r="CE45" s="118"/>
      <c r="CF45" s="118"/>
      <c r="CG45" s="118"/>
      <c r="CH45" s="118"/>
      <c r="CI45" s="118"/>
      <c r="CJ45" s="118"/>
      <c r="CK45" s="118"/>
      <c r="CL45" s="118"/>
      <c r="CM45" s="118"/>
      <c r="CN45" s="118"/>
      <c r="CO45" s="118"/>
      <c r="CP45" s="118"/>
      <c r="CQ45" s="118"/>
      <c r="CR45" s="118"/>
      <c r="CS45" s="118"/>
      <c r="CT45" s="118"/>
      <c r="CU45" s="118"/>
      <c r="CV45" s="118"/>
      <c r="CW45" s="118"/>
      <c r="CX45" s="118"/>
      <c r="CY45" s="118"/>
      <c r="CZ45" s="118"/>
      <c r="DA45" s="118"/>
      <c r="DB45" s="118"/>
      <c r="DC45" s="118"/>
      <c r="DD45" s="118"/>
      <c r="DE45" s="118"/>
      <c r="DF45" s="118"/>
      <c r="DG45" s="118"/>
      <c r="DH45" s="118"/>
      <c r="DI45" s="118"/>
      <c r="DJ45" s="118"/>
      <c r="DK45" s="118"/>
      <c r="DL45" s="118"/>
      <c r="DM45" s="118"/>
      <c r="DN45" s="118"/>
      <c r="DO45" s="118"/>
      <c r="DP45" s="118"/>
      <c r="DQ45" s="118"/>
      <c r="DR45" s="118"/>
      <c r="DS45" s="118"/>
      <c r="DT45" s="118"/>
      <c r="DU45" s="118"/>
      <c r="DV45" s="118"/>
      <c r="DW45" s="118"/>
      <c r="DX45" s="118"/>
      <c r="DY45" s="118"/>
      <c r="DZ45" s="118"/>
      <c r="EA45" s="118"/>
      <c r="EB45" s="118"/>
      <c r="EC45" s="118"/>
      <c r="ED45" s="118"/>
      <c r="EE45" s="118"/>
      <c r="EF45" s="118"/>
      <c r="EG45" s="118"/>
      <c r="EH45" s="118"/>
      <c r="EI45" s="118"/>
      <c r="EJ45" s="118"/>
      <c r="EK45" s="118"/>
      <c r="EL45" s="118"/>
      <c r="EM45" s="118"/>
      <c r="EN45" s="118"/>
      <c r="EO45" s="118"/>
      <c r="EP45" s="118"/>
      <c r="EQ45" s="118"/>
      <c r="ER45" s="118"/>
      <c r="ES45" s="118"/>
      <c r="ET45" s="118"/>
      <c r="EU45" s="118"/>
      <c r="EV45" s="118"/>
      <c r="EW45" s="118"/>
      <c r="EX45" s="118"/>
      <c r="EY45" s="118"/>
      <c r="EZ45" s="118"/>
      <c r="FA45" s="118"/>
      <c r="FB45" s="118"/>
      <c r="FC45" s="118"/>
      <c r="FD45" s="118"/>
      <c r="FE45" s="118"/>
      <c r="FF45" s="118"/>
      <c r="FG45" s="118"/>
      <c r="FH45" s="118"/>
      <c r="FI45" s="118"/>
      <c r="FJ45" s="118"/>
      <c r="FK45" s="118"/>
      <c r="FL45" s="118"/>
      <c r="FM45" s="118"/>
      <c r="FN45" s="118"/>
      <c r="FO45" s="118"/>
      <c r="FP45" s="118"/>
      <c r="FQ45" s="118"/>
      <c r="FR45" s="118"/>
      <c r="FS45" s="118"/>
      <c r="FT45" s="118"/>
      <c r="FU45" s="118"/>
      <c r="FV45" s="118"/>
      <c r="FW45" s="118"/>
      <c r="FX45" s="118"/>
      <c r="FY45" s="118"/>
      <c r="FZ45" s="118"/>
      <c r="GA45" s="118"/>
      <c r="GB45" s="118"/>
      <c r="GC45" s="118"/>
      <c r="GD45" s="118"/>
      <c r="GE45" s="118"/>
      <c r="GF45" s="118"/>
      <c r="GG45" s="118"/>
      <c r="GH45" s="118"/>
      <c r="GI45" s="118"/>
      <c r="GJ45" s="118"/>
      <c r="GK45" s="118"/>
      <c r="GL45" s="118"/>
      <c r="GM45" s="118"/>
      <c r="GN45" s="118"/>
      <c r="GO45" s="118"/>
      <c r="GP45" s="118"/>
      <c r="GQ45" s="118"/>
      <c r="GR45" s="118"/>
      <c r="GS45" s="118"/>
      <c r="GT45" s="118"/>
      <c r="GU45" s="118"/>
      <c r="GV45" s="118"/>
      <c r="GW45" s="118"/>
      <c r="GX45" s="118"/>
      <c r="GY45" s="118"/>
      <c r="GZ45" s="118"/>
      <c r="HA45" s="118"/>
      <c r="HB45" s="118"/>
      <c r="HC45" s="118"/>
      <c r="HD45" s="118"/>
      <c r="HE45" s="118"/>
      <c r="HF45" s="118"/>
      <c r="HG45" s="118"/>
      <c r="HH45" s="118"/>
      <c r="HI45" s="118"/>
      <c r="HJ45" s="118"/>
      <c r="HK45" s="118"/>
      <c r="HL45" s="118"/>
      <c r="HM45" s="118"/>
      <c r="HN45" s="118"/>
      <c r="HO45" s="118"/>
      <c r="HP45" s="118"/>
      <c r="HQ45" s="118"/>
      <c r="HR45" s="118"/>
      <c r="HS45" s="118"/>
      <c r="HT45" s="118"/>
      <c r="HU45" s="118"/>
      <c r="HV45" s="118"/>
      <c r="HW45" s="118"/>
      <c r="HX45" s="118"/>
      <c r="HY45" s="118"/>
      <c r="HZ45" s="118"/>
      <c r="IA45" s="118"/>
      <c r="IB45" s="118"/>
      <c r="IC45" s="118"/>
      <c r="ID45" s="118"/>
      <c r="IE45" s="118"/>
      <c r="IF45" s="118"/>
      <c r="IG45" s="118"/>
      <c r="IH45" s="118"/>
      <c r="II45" s="118"/>
      <c r="IJ45" s="118"/>
      <c r="IK45" s="118"/>
      <c r="IL45" s="118"/>
      <c r="IM45" s="118"/>
      <c r="IN45" s="118"/>
      <c r="IO45" s="118"/>
      <c r="IP45" s="118"/>
      <c r="IQ45" s="118"/>
      <c r="IR45" s="118"/>
      <c r="IS45" s="118"/>
      <c r="IT45" s="118"/>
      <c r="IU45" s="118"/>
      <c r="IV45" s="118"/>
      <c r="IW45" s="118"/>
    </row>
    <row r="46" customFormat="false" ht="15" hidden="false" customHeight="false" outlineLevel="0" collapsed="false">
      <c r="A46" s="118"/>
      <c r="B46" s="118"/>
      <c r="C46" s="118"/>
      <c r="D46" s="118"/>
      <c r="E46" s="118"/>
      <c r="F46" s="118"/>
      <c r="G46" s="118"/>
      <c r="H46" s="118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18"/>
      <c r="BG46" s="118"/>
      <c r="BH46" s="118"/>
      <c r="BI46" s="118"/>
      <c r="BJ46" s="118"/>
      <c r="BK46" s="118"/>
      <c r="BL46" s="118"/>
      <c r="BM46" s="118"/>
      <c r="BN46" s="118"/>
      <c r="BO46" s="118"/>
      <c r="BP46" s="118"/>
      <c r="BQ46" s="118"/>
      <c r="BR46" s="118"/>
      <c r="BS46" s="118"/>
      <c r="BT46" s="118"/>
      <c r="BU46" s="118"/>
      <c r="BV46" s="118"/>
      <c r="BW46" s="118"/>
      <c r="BX46" s="118"/>
      <c r="BY46" s="118"/>
      <c r="BZ46" s="118"/>
      <c r="CA46" s="118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  <c r="CN46" s="118"/>
      <c r="CO46" s="118"/>
      <c r="CP46" s="118"/>
      <c r="CQ46" s="118"/>
      <c r="CR46" s="118"/>
      <c r="CS46" s="118"/>
      <c r="CT46" s="118"/>
      <c r="CU46" s="118"/>
      <c r="CV46" s="118"/>
      <c r="CW46" s="118"/>
      <c r="CX46" s="118"/>
      <c r="CY46" s="118"/>
      <c r="CZ46" s="118"/>
      <c r="DA46" s="118"/>
      <c r="DB46" s="118"/>
      <c r="DC46" s="118"/>
      <c r="DD46" s="118"/>
      <c r="DE46" s="118"/>
      <c r="DF46" s="118"/>
      <c r="DG46" s="118"/>
      <c r="DH46" s="118"/>
      <c r="DI46" s="118"/>
      <c r="DJ46" s="118"/>
      <c r="DK46" s="118"/>
      <c r="DL46" s="118"/>
      <c r="DM46" s="118"/>
      <c r="DN46" s="118"/>
      <c r="DO46" s="118"/>
      <c r="DP46" s="118"/>
      <c r="DQ46" s="118"/>
      <c r="DR46" s="118"/>
      <c r="DS46" s="118"/>
      <c r="DT46" s="118"/>
      <c r="DU46" s="118"/>
      <c r="DV46" s="118"/>
      <c r="DW46" s="118"/>
      <c r="DX46" s="118"/>
      <c r="DY46" s="118"/>
      <c r="DZ46" s="118"/>
      <c r="EA46" s="118"/>
      <c r="EB46" s="118"/>
      <c r="EC46" s="118"/>
      <c r="ED46" s="118"/>
      <c r="EE46" s="118"/>
      <c r="EF46" s="118"/>
      <c r="EG46" s="118"/>
      <c r="EH46" s="118"/>
      <c r="EI46" s="118"/>
      <c r="EJ46" s="118"/>
      <c r="EK46" s="118"/>
      <c r="EL46" s="118"/>
      <c r="EM46" s="118"/>
      <c r="EN46" s="118"/>
      <c r="EO46" s="118"/>
      <c r="EP46" s="118"/>
      <c r="EQ46" s="118"/>
      <c r="ER46" s="118"/>
      <c r="ES46" s="118"/>
      <c r="ET46" s="118"/>
      <c r="EU46" s="118"/>
      <c r="EV46" s="118"/>
      <c r="EW46" s="118"/>
      <c r="EX46" s="118"/>
      <c r="EY46" s="118"/>
      <c r="EZ46" s="118"/>
      <c r="FA46" s="118"/>
      <c r="FB46" s="118"/>
      <c r="FC46" s="118"/>
      <c r="FD46" s="118"/>
      <c r="FE46" s="118"/>
      <c r="FF46" s="118"/>
      <c r="FG46" s="118"/>
      <c r="FH46" s="118"/>
      <c r="FI46" s="118"/>
      <c r="FJ46" s="118"/>
      <c r="FK46" s="118"/>
      <c r="FL46" s="118"/>
      <c r="FM46" s="118"/>
      <c r="FN46" s="118"/>
      <c r="FO46" s="118"/>
      <c r="FP46" s="118"/>
      <c r="FQ46" s="118"/>
      <c r="FR46" s="118"/>
      <c r="FS46" s="118"/>
      <c r="FT46" s="118"/>
      <c r="FU46" s="118"/>
      <c r="FV46" s="118"/>
      <c r="FW46" s="118"/>
      <c r="FX46" s="118"/>
      <c r="FY46" s="118"/>
      <c r="FZ46" s="118"/>
      <c r="GA46" s="118"/>
      <c r="GB46" s="118"/>
      <c r="GC46" s="118"/>
      <c r="GD46" s="118"/>
      <c r="GE46" s="118"/>
      <c r="GF46" s="118"/>
      <c r="GG46" s="118"/>
      <c r="GH46" s="118"/>
      <c r="GI46" s="118"/>
      <c r="GJ46" s="118"/>
      <c r="GK46" s="118"/>
      <c r="GL46" s="118"/>
      <c r="GM46" s="118"/>
      <c r="GN46" s="118"/>
      <c r="GO46" s="118"/>
      <c r="GP46" s="118"/>
      <c r="GQ46" s="118"/>
      <c r="GR46" s="118"/>
      <c r="GS46" s="118"/>
      <c r="GT46" s="118"/>
      <c r="GU46" s="118"/>
      <c r="GV46" s="118"/>
      <c r="GW46" s="118"/>
      <c r="GX46" s="118"/>
      <c r="GY46" s="118"/>
      <c r="GZ46" s="118"/>
      <c r="HA46" s="118"/>
      <c r="HB46" s="118"/>
      <c r="HC46" s="118"/>
      <c r="HD46" s="118"/>
      <c r="HE46" s="118"/>
      <c r="HF46" s="118"/>
      <c r="HG46" s="118"/>
      <c r="HH46" s="118"/>
      <c r="HI46" s="118"/>
      <c r="HJ46" s="118"/>
      <c r="HK46" s="118"/>
      <c r="HL46" s="118"/>
      <c r="HM46" s="118"/>
      <c r="HN46" s="118"/>
      <c r="HO46" s="118"/>
      <c r="HP46" s="118"/>
      <c r="HQ46" s="118"/>
      <c r="HR46" s="118"/>
      <c r="HS46" s="118"/>
      <c r="HT46" s="118"/>
      <c r="HU46" s="118"/>
      <c r="HV46" s="118"/>
      <c r="HW46" s="118"/>
      <c r="HX46" s="118"/>
      <c r="HY46" s="118"/>
      <c r="HZ46" s="118"/>
      <c r="IA46" s="118"/>
      <c r="IB46" s="118"/>
      <c r="IC46" s="118"/>
      <c r="ID46" s="118"/>
      <c r="IE46" s="118"/>
      <c r="IF46" s="118"/>
      <c r="IG46" s="118"/>
      <c r="IH46" s="118"/>
      <c r="II46" s="118"/>
      <c r="IJ46" s="118"/>
      <c r="IK46" s="118"/>
      <c r="IL46" s="118"/>
      <c r="IM46" s="118"/>
      <c r="IN46" s="118"/>
      <c r="IO46" s="118"/>
      <c r="IP46" s="118"/>
      <c r="IQ46" s="118"/>
      <c r="IR46" s="118"/>
      <c r="IS46" s="118"/>
      <c r="IT46" s="118"/>
      <c r="IU46" s="118"/>
      <c r="IV46" s="118"/>
      <c r="IW46" s="118"/>
    </row>
    <row r="47" customFormat="false" ht="15" hidden="false" customHeight="false" outlineLevel="0" collapsed="false">
      <c r="A47" s="118"/>
      <c r="B47" s="118"/>
      <c r="C47" s="118"/>
      <c r="D47" s="118"/>
      <c r="E47" s="118"/>
      <c r="F47" s="118"/>
      <c r="G47" s="118"/>
      <c r="H47" s="118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118"/>
      <c r="BM47" s="118"/>
      <c r="BN47" s="118"/>
      <c r="BO47" s="118"/>
      <c r="BP47" s="118"/>
      <c r="BQ47" s="118"/>
      <c r="BR47" s="118"/>
      <c r="BS47" s="118"/>
      <c r="BT47" s="118"/>
      <c r="BU47" s="118"/>
      <c r="BV47" s="118"/>
      <c r="BW47" s="118"/>
      <c r="BX47" s="118"/>
      <c r="BY47" s="118"/>
      <c r="BZ47" s="118"/>
      <c r="CA47" s="118"/>
      <c r="CB47" s="118"/>
      <c r="CC47" s="118"/>
      <c r="CD47" s="118"/>
      <c r="CE47" s="118"/>
      <c r="CF47" s="118"/>
      <c r="CG47" s="118"/>
      <c r="CH47" s="118"/>
      <c r="CI47" s="118"/>
      <c r="CJ47" s="118"/>
      <c r="CK47" s="118"/>
      <c r="CL47" s="118"/>
      <c r="CM47" s="118"/>
      <c r="CN47" s="118"/>
      <c r="CO47" s="118"/>
      <c r="CP47" s="118"/>
      <c r="CQ47" s="118"/>
      <c r="CR47" s="118"/>
      <c r="CS47" s="118"/>
      <c r="CT47" s="118"/>
      <c r="CU47" s="118"/>
      <c r="CV47" s="118"/>
      <c r="CW47" s="118"/>
      <c r="CX47" s="118"/>
      <c r="CY47" s="118"/>
      <c r="CZ47" s="118"/>
      <c r="DA47" s="118"/>
      <c r="DB47" s="118"/>
      <c r="DC47" s="118"/>
      <c r="DD47" s="118"/>
      <c r="DE47" s="118"/>
      <c r="DF47" s="118"/>
      <c r="DG47" s="118"/>
      <c r="DH47" s="118"/>
      <c r="DI47" s="118"/>
      <c r="DJ47" s="118"/>
      <c r="DK47" s="118"/>
      <c r="DL47" s="118"/>
      <c r="DM47" s="118"/>
      <c r="DN47" s="118"/>
      <c r="DO47" s="118"/>
      <c r="DP47" s="118"/>
      <c r="DQ47" s="118"/>
      <c r="DR47" s="118"/>
      <c r="DS47" s="118"/>
      <c r="DT47" s="118"/>
      <c r="DU47" s="118"/>
      <c r="DV47" s="118"/>
      <c r="DW47" s="118"/>
      <c r="DX47" s="118"/>
      <c r="DY47" s="118"/>
      <c r="DZ47" s="118"/>
      <c r="EA47" s="118"/>
      <c r="EB47" s="118"/>
      <c r="EC47" s="118"/>
      <c r="ED47" s="118"/>
      <c r="EE47" s="118"/>
      <c r="EF47" s="118"/>
      <c r="EG47" s="118"/>
      <c r="EH47" s="118"/>
      <c r="EI47" s="118"/>
      <c r="EJ47" s="118"/>
      <c r="EK47" s="118"/>
      <c r="EL47" s="118"/>
      <c r="EM47" s="118"/>
      <c r="EN47" s="118"/>
      <c r="EO47" s="118"/>
      <c r="EP47" s="118"/>
      <c r="EQ47" s="118"/>
      <c r="ER47" s="118"/>
      <c r="ES47" s="118"/>
      <c r="ET47" s="118"/>
      <c r="EU47" s="118"/>
      <c r="EV47" s="118"/>
      <c r="EW47" s="118"/>
      <c r="EX47" s="118"/>
      <c r="EY47" s="118"/>
      <c r="EZ47" s="118"/>
      <c r="FA47" s="118"/>
      <c r="FB47" s="118"/>
      <c r="FC47" s="118"/>
      <c r="FD47" s="118"/>
      <c r="FE47" s="118"/>
      <c r="FF47" s="118"/>
      <c r="FG47" s="118"/>
      <c r="FH47" s="118"/>
      <c r="FI47" s="118"/>
      <c r="FJ47" s="118"/>
      <c r="FK47" s="118"/>
      <c r="FL47" s="118"/>
      <c r="FM47" s="118"/>
      <c r="FN47" s="118"/>
      <c r="FO47" s="118"/>
      <c r="FP47" s="118"/>
      <c r="FQ47" s="118"/>
      <c r="FR47" s="118"/>
      <c r="FS47" s="118"/>
      <c r="FT47" s="118"/>
      <c r="FU47" s="118"/>
      <c r="FV47" s="118"/>
      <c r="FW47" s="118"/>
      <c r="FX47" s="118"/>
      <c r="FY47" s="118"/>
      <c r="FZ47" s="118"/>
      <c r="GA47" s="118"/>
      <c r="GB47" s="118"/>
      <c r="GC47" s="118"/>
      <c r="GD47" s="118"/>
      <c r="GE47" s="118"/>
      <c r="GF47" s="118"/>
      <c r="GG47" s="118"/>
      <c r="GH47" s="118"/>
      <c r="GI47" s="118"/>
      <c r="GJ47" s="118"/>
      <c r="GK47" s="118"/>
      <c r="GL47" s="118"/>
      <c r="GM47" s="118"/>
      <c r="GN47" s="118"/>
      <c r="GO47" s="118"/>
      <c r="GP47" s="118"/>
      <c r="GQ47" s="118"/>
      <c r="GR47" s="118"/>
      <c r="GS47" s="118"/>
      <c r="GT47" s="118"/>
      <c r="GU47" s="118"/>
      <c r="GV47" s="118"/>
      <c r="GW47" s="118"/>
      <c r="GX47" s="118"/>
      <c r="GY47" s="118"/>
      <c r="GZ47" s="118"/>
      <c r="HA47" s="118"/>
      <c r="HB47" s="118"/>
      <c r="HC47" s="118"/>
      <c r="HD47" s="118"/>
      <c r="HE47" s="118"/>
      <c r="HF47" s="118"/>
      <c r="HG47" s="118"/>
      <c r="HH47" s="118"/>
      <c r="HI47" s="118"/>
      <c r="HJ47" s="118"/>
      <c r="HK47" s="118"/>
      <c r="HL47" s="118"/>
      <c r="HM47" s="118"/>
      <c r="HN47" s="118"/>
      <c r="HO47" s="118"/>
      <c r="HP47" s="118"/>
      <c r="HQ47" s="118"/>
      <c r="HR47" s="118"/>
      <c r="HS47" s="118"/>
      <c r="HT47" s="118"/>
      <c r="HU47" s="118"/>
      <c r="HV47" s="118"/>
      <c r="HW47" s="118"/>
      <c r="HX47" s="118"/>
      <c r="HY47" s="118"/>
      <c r="HZ47" s="118"/>
      <c r="IA47" s="118"/>
      <c r="IB47" s="118"/>
      <c r="IC47" s="118"/>
      <c r="ID47" s="118"/>
      <c r="IE47" s="118"/>
      <c r="IF47" s="118"/>
      <c r="IG47" s="118"/>
      <c r="IH47" s="118"/>
      <c r="II47" s="118"/>
      <c r="IJ47" s="118"/>
      <c r="IK47" s="118"/>
      <c r="IL47" s="118"/>
      <c r="IM47" s="118"/>
      <c r="IN47" s="118"/>
      <c r="IO47" s="118"/>
      <c r="IP47" s="118"/>
      <c r="IQ47" s="118"/>
      <c r="IR47" s="118"/>
      <c r="IS47" s="118"/>
      <c r="IT47" s="118"/>
      <c r="IU47" s="118"/>
      <c r="IV47" s="118"/>
      <c r="IW47" s="118"/>
    </row>
    <row r="48" customFormat="false" ht="15" hidden="false" customHeight="false" outlineLevel="0" collapsed="false">
      <c r="A48" s="118"/>
      <c r="B48" s="118"/>
      <c r="C48" s="118"/>
      <c r="D48" s="118"/>
      <c r="E48" s="118"/>
      <c r="F48" s="118"/>
      <c r="G48" s="118"/>
      <c r="H48" s="118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8"/>
      <c r="AX48" s="118"/>
      <c r="AY48" s="118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118"/>
      <c r="BT48" s="118"/>
      <c r="BU48" s="118"/>
      <c r="BV48" s="118"/>
      <c r="BW48" s="118"/>
      <c r="BX48" s="118"/>
      <c r="BY48" s="118"/>
      <c r="BZ48" s="118"/>
      <c r="CA48" s="118"/>
      <c r="CB48" s="118"/>
      <c r="CC48" s="118"/>
      <c r="CD48" s="118"/>
      <c r="CE48" s="118"/>
      <c r="CF48" s="118"/>
      <c r="CG48" s="118"/>
      <c r="CH48" s="118"/>
      <c r="CI48" s="118"/>
      <c r="CJ48" s="118"/>
      <c r="CK48" s="118"/>
      <c r="CL48" s="118"/>
      <c r="CM48" s="118"/>
      <c r="CN48" s="118"/>
      <c r="CO48" s="118"/>
      <c r="CP48" s="118"/>
      <c r="CQ48" s="118"/>
      <c r="CR48" s="118"/>
      <c r="CS48" s="118"/>
      <c r="CT48" s="118"/>
      <c r="CU48" s="118"/>
      <c r="CV48" s="118"/>
      <c r="CW48" s="118"/>
      <c r="CX48" s="118"/>
      <c r="CY48" s="118"/>
      <c r="CZ48" s="118"/>
      <c r="DA48" s="118"/>
      <c r="DB48" s="118"/>
      <c r="DC48" s="118"/>
      <c r="DD48" s="118"/>
      <c r="DE48" s="118"/>
      <c r="DF48" s="118"/>
      <c r="DG48" s="118"/>
      <c r="DH48" s="118"/>
      <c r="DI48" s="118"/>
      <c r="DJ48" s="118"/>
      <c r="DK48" s="118"/>
      <c r="DL48" s="118"/>
      <c r="DM48" s="118"/>
      <c r="DN48" s="118"/>
      <c r="DO48" s="118"/>
      <c r="DP48" s="118"/>
      <c r="DQ48" s="118"/>
      <c r="DR48" s="118"/>
      <c r="DS48" s="118"/>
      <c r="DT48" s="118"/>
      <c r="DU48" s="118"/>
      <c r="DV48" s="118"/>
      <c r="DW48" s="118"/>
      <c r="DX48" s="118"/>
      <c r="DY48" s="118"/>
      <c r="DZ48" s="118"/>
      <c r="EA48" s="118"/>
      <c r="EB48" s="118"/>
      <c r="EC48" s="118"/>
      <c r="ED48" s="118"/>
      <c r="EE48" s="118"/>
      <c r="EF48" s="118"/>
      <c r="EG48" s="118"/>
      <c r="EH48" s="118"/>
      <c r="EI48" s="118"/>
      <c r="EJ48" s="118"/>
      <c r="EK48" s="118"/>
      <c r="EL48" s="118"/>
      <c r="EM48" s="118"/>
      <c r="EN48" s="118"/>
      <c r="EO48" s="118"/>
      <c r="EP48" s="118"/>
      <c r="EQ48" s="118"/>
      <c r="ER48" s="118"/>
      <c r="ES48" s="118"/>
      <c r="ET48" s="118"/>
      <c r="EU48" s="118"/>
      <c r="EV48" s="118"/>
      <c r="EW48" s="118"/>
      <c r="EX48" s="118"/>
      <c r="EY48" s="118"/>
      <c r="EZ48" s="118"/>
      <c r="FA48" s="118"/>
      <c r="FB48" s="118"/>
      <c r="FC48" s="118"/>
      <c r="FD48" s="118"/>
      <c r="FE48" s="118"/>
      <c r="FF48" s="118"/>
      <c r="FG48" s="118"/>
      <c r="FH48" s="118"/>
      <c r="FI48" s="118"/>
      <c r="FJ48" s="118"/>
      <c r="FK48" s="118"/>
      <c r="FL48" s="118"/>
      <c r="FM48" s="118"/>
      <c r="FN48" s="118"/>
      <c r="FO48" s="118"/>
      <c r="FP48" s="118"/>
      <c r="FQ48" s="118"/>
      <c r="FR48" s="118"/>
      <c r="FS48" s="118"/>
      <c r="FT48" s="118"/>
      <c r="FU48" s="118"/>
      <c r="FV48" s="118"/>
      <c r="FW48" s="118"/>
      <c r="FX48" s="118"/>
      <c r="FY48" s="118"/>
      <c r="FZ48" s="118"/>
      <c r="GA48" s="118"/>
      <c r="GB48" s="118"/>
      <c r="GC48" s="118"/>
      <c r="GD48" s="118"/>
      <c r="GE48" s="118"/>
      <c r="GF48" s="118"/>
      <c r="GG48" s="118"/>
      <c r="GH48" s="118"/>
      <c r="GI48" s="118"/>
      <c r="GJ48" s="118"/>
      <c r="GK48" s="118"/>
      <c r="GL48" s="118"/>
      <c r="GM48" s="118"/>
      <c r="GN48" s="118"/>
      <c r="GO48" s="118"/>
      <c r="GP48" s="118"/>
      <c r="GQ48" s="118"/>
      <c r="GR48" s="118"/>
      <c r="GS48" s="118"/>
      <c r="GT48" s="118"/>
      <c r="GU48" s="118"/>
      <c r="GV48" s="118"/>
      <c r="GW48" s="118"/>
      <c r="GX48" s="118"/>
      <c r="GY48" s="118"/>
      <c r="GZ48" s="118"/>
      <c r="HA48" s="118"/>
      <c r="HB48" s="118"/>
      <c r="HC48" s="118"/>
      <c r="HD48" s="118"/>
      <c r="HE48" s="118"/>
      <c r="HF48" s="118"/>
      <c r="HG48" s="118"/>
      <c r="HH48" s="118"/>
      <c r="HI48" s="118"/>
      <c r="HJ48" s="118"/>
      <c r="HK48" s="118"/>
      <c r="HL48" s="118"/>
      <c r="HM48" s="118"/>
      <c r="HN48" s="118"/>
      <c r="HO48" s="118"/>
      <c r="HP48" s="118"/>
      <c r="HQ48" s="118"/>
      <c r="HR48" s="118"/>
      <c r="HS48" s="118"/>
      <c r="HT48" s="118"/>
      <c r="HU48" s="118"/>
      <c r="HV48" s="118"/>
      <c r="HW48" s="118"/>
      <c r="HX48" s="118"/>
      <c r="HY48" s="118"/>
      <c r="HZ48" s="118"/>
      <c r="IA48" s="118"/>
      <c r="IB48" s="118"/>
      <c r="IC48" s="118"/>
      <c r="ID48" s="118"/>
      <c r="IE48" s="118"/>
      <c r="IF48" s="118"/>
      <c r="IG48" s="118"/>
      <c r="IH48" s="118"/>
      <c r="II48" s="118"/>
      <c r="IJ48" s="118"/>
      <c r="IK48" s="118"/>
      <c r="IL48" s="118"/>
      <c r="IM48" s="118"/>
      <c r="IN48" s="118"/>
      <c r="IO48" s="118"/>
      <c r="IP48" s="118"/>
      <c r="IQ48" s="118"/>
      <c r="IR48" s="118"/>
      <c r="IS48" s="118"/>
      <c r="IT48" s="118"/>
      <c r="IU48" s="118"/>
      <c r="IV48" s="118"/>
      <c r="IW48" s="118"/>
    </row>
    <row r="49" customFormat="false" ht="15" hidden="false" customHeight="false" outlineLevel="0" collapsed="false">
      <c r="A49" s="118"/>
      <c r="B49" s="118"/>
      <c r="C49" s="118"/>
      <c r="D49" s="118"/>
      <c r="E49" s="118"/>
      <c r="F49" s="118"/>
      <c r="G49" s="118"/>
      <c r="H49" s="118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18"/>
      <c r="CS49" s="118"/>
      <c r="CT49" s="118"/>
      <c r="CU49" s="118"/>
      <c r="CV49" s="118"/>
      <c r="CW49" s="118"/>
      <c r="CX49" s="118"/>
      <c r="CY49" s="118"/>
      <c r="CZ49" s="118"/>
      <c r="DA49" s="118"/>
      <c r="DB49" s="118"/>
      <c r="DC49" s="118"/>
      <c r="DD49" s="118"/>
      <c r="DE49" s="118"/>
      <c r="DF49" s="118"/>
      <c r="DG49" s="118"/>
      <c r="DH49" s="118"/>
      <c r="DI49" s="118"/>
      <c r="DJ49" s="118"/>
      <c r="DK49" s="118"/>
      <c r="DL49" s="118"/>
      <c r="DM49" s="118"/>
      <c r="DN49" s="118"/>
      <c r="DO49" s="118"/>
      <c r="DP49" s="118"/>
      <c r="DQ49" s="118"/>
      <c r="DR49" s="118"/>
      <c r="DS49" s="118"/>
      <c r="DT49" s="118"/>
      <c r="DU49" s="118"/>
      <c r="DV49" s="118"/>
      <c r="DW49" s="118"/>
      <c r="DX49" s="118"/>
      <c r="DY49" s="118"/>
      <c r="DZ49" s="118"/>
      <c r="EA49" s="118"/>
      <c r="EB49" s="118"/>
      <c r="EC49" s="118"/>
      <c r="ED49" s="118"/>
      <c r="EE49" s="118"/>
      <c r="EF49" s="118"/>
      <c r="EG49" s="118"/>
      <c r="EH49" s="118"/>
      <c r="EI49" s="118"/>
      <c r="EJ49" s="118"/>
      <c r="EK49" s="118"/>
      <c r="EL49" s="118"/>
      <c r="EM49" s="118"/>
      <c r="EN49" s="118"/>
      <c r="EO49" s="118"/>
      <c r="EP49" s="118"/>
      <c r="EQ49" s="118"/>
      <c r="ER49" s="118"/>
      <c r="ES49" s="118"/>
      <c r="ET49" s="118"/>
      <c r="EU49" s="118"/>
      <c r="EV49" s="118"/>
      <c r="EW49" s="118"/>
      <c r="EX49" s="118"/>
      <c r="EY49" s="118"/>
      <c r="EZ49" s="118"/>
      <c r="FA49" s="118"/>
      <c r="FB49" s="118"/>
      <c r="FC49" s="118"/>
      <c r="FD49" s="118"/>
      <c r="FE49" s="118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118"/>
      <c r="GL49" s="118"/>
      <c r="GM49" s="118"/>
      <c r="GN49" s="118"/>
      <c r="GO49" s="118"/>
      <c r="GP49" s="118"/>
      <c r="GQ49" s="118"/>
      <c r="GR49" s="118"/>
      <c r="GS49" s="118"/>
      <c r="GT49" s="118"/>
      <c r="GU49" s="118"/>
      <c r="GV49" s="118"/>
      <c r="GW49" s="118"/>
      <c r="GX49" s="118"/>
      <c r="GY49" s="118"/>
      <c r="GZ49" s="118"/>
      <c r="HA49" s="118"/>
      <c r="HB49" s="118"/>
      <c r="HC49" s="118"/>
      <c r="HD49" s="118"/>
      <c r="HE49" s="118"/>
      <c r="HF49" s="118"/>
      <c r="HG49" s="118"/>
      <c r="HH49" s="118"/>
      <c r="HI49" s="118"/>
      <c r="HJ49" s="118"/>
      <c r="HK49" s="118"/>
      <c r="HL49" s="118"/>
      <c r="HM49" s="118"/>
      <c r="HN49" s="118"/>
      <c r="HO49" s="118"/>
      <c r="HP49" s="118"/>
      <c r="HQ49" s="118"/>
      <c r="HR49" s="118"/>
      <c r="HS49" s="118"/>
      <c r="HT49" s="118"/>
      <c r="HU49" s="118"/>
      <c r="HV49" s="118"/>
      <c r="HW49" s="118"/>
      <c r="HX49" s="118"/>
      <c r="HY49" s="118"/>
      <c r="HZ49" s="118"/>
      <c r="IA49" s="118"/>
      <c r="IB49" s="118"/>
      <c r="IC49" s="118"/>
      <c r="ID49" s="118"/>
      <c r="IE49" s="118"/>
      <c r="IF49" s="118"/>
      <c r="IG49" s="118"/>
      <c r="IH49" s="118"/>
      <c r="II49" s="118"/>
      <c r="IJ49" s="118"/>
      <c r="IK49" s="118"/>
      <c r="IL49" s="118"/>
      <c r="IM49" s="118"/>
      <c r="IN49" s="118"/>
      <c r="IO49" s="118"/>
      <c r="IP49" s="118"/>
      <c r="IQ49" s="118"/>
      <c r="IR49" s="118"/>
      <c r="IS49" s="118"/>
      <c r="IT49" s="118"/>
      <c r="IU49" s="118"/>
      <c r="IV49" s="118"/>
      <c r="IW49" s="118"/>
    </row>
    <row r="50" customFormat="false" ht="15" hidden="false" customHeight="false" outlineLevel="0" collapsed="false">
      <c r="A50" s="118"/>
      <c r="B50" s="118"/>
      <c r="C50" s="118"/>
      <c r="D50" s="118"/>
      <c r="E50" s="118"/>
      <c r="F50" s="118"/>
      <c r="G50" s="118"/>
      <c r="H50" s="118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  <c r="CS50" s="118"/>
      <c r="CT50" s="118"/>
      <c r="CU50" s="118"/>
      <c r="CV50" s="118"/>
      <c r="CW50" s="118"/>
      <c r="CX50" s="118"/>
      <c r="CY50" s="118"/>
      <c r="CZ50" s="118"/>
      <c r="DA50" s="118"/>
      <c r="DB50" s="118"/>
      <c r="DC50" s="118"/>
      <c r="DD50" s="118"/>
      <c r="DE50" s="118"/>
      <c r="DF50" s="118"/>
      <c r="DG50" s="118"/>
      <c r="DH50" s="118"/>
      <c r="DI50" s="118"/>
      <c r="DJ50" s="118"/>
      <c r="DK50" s="118"/>
      <c r="DL50" s="118"/>
      <c r="DM50" s="118"/>
      <c r="DN50" s="118"/>
      <c r="DO50" s="118"/>
      <c r="DP50" s="118"/>
      <c r="DQ50" s="118"/>
      <c r="DR50" s="118"/>
      <c r="DS50" s="118"/>
      <c r="DT50" s="118"/>
      <c r="DU50" s="118"/>
      <c r="DV50" s="118"/>
      <c r="DW50" s="118"/>
      <c r="DX50" s="118"/>
      <c r="DY50" s="118"/>
      <c r="DZ50" s="118"/>
      <c r="EA50" s="118"/>
      <c r="EB50" s="118"/>
      <c r="EC50" s="118"/>
      <c r="ED50" s="118"/>
      <c r="EE50" s="118"/>
      <c r="EF50" s="118"/>
      <c r="EG50" s="118"/>
      <c r="EH50" s="118"/>
      <c r="EI50" s="118"/>
      <c r="EJ50" s="118"/>
      <c r="EK50" s="118"/>
      <c r="EL50" s="118"/>
      <c r="EM50" s="118"/>
      <c r="EN50" s="118"/>
      <c r="EO50" s="118"/>
      <c r="EP50" s="118"/>
      <c r="EQ50" s="118"/>
      <c r="ER50" s="118"/>
      <c r="ES50" s="118"/>
      <c r="ET50" s="118"/>
      <c r="EU50" s="118"/>
      <c r="EV50" s="118"/>
      <c r="EW50" s="118"/>
      <c r="EX50" s="118"/>
      <c r="EY50" s="118"/>
      <c r="EZ50" s="118"/>
      <c r="FA50" s="118"/>
      <c r="FB50" s="118"/>
      <c r="FC50" s="118"/>
      <c r="FD50" s="118"/>
      <c r="FE50" s="118"/>
      <c r="FF50" s="118"/>
      <c r="FG50" s="118"/>
      <c r="FH50" s="118"/>
      <c r="FI50" s="118"/>
      <c r="FJ50" s="118"/>
      <c r="FK50" s="118"/>
      <c r="FL50" s="118"/>
      <c r="FM50" s="118"/>
      <c r="FN50" s="118"/>
      <c r="FO50" s="118"/>
      <c r="FP50" s="118"/>
      <c r="FQ50" s="118"/>
      <c r="FR50" s="118"/>
      <c r="FS50" s="118"/>
      <c r="FT50" s="118"/>
      <c r="FU50" s="118"/>
      <c r="FV50" s="118"/>
      <c r="FW50" s="118"/>
      <c r="FX50" s="118"/>
      <c r="FY50" s="118"/>
      <c r="FZ50" s="118"/>
      <c r="GA50" s="118"/>
      <c r="GB50" s="118"/>
      <c r="GC50" s="118"/>
      <c r="GD50" s="118"/>
      <c r="GE50" s="118"/>
      <c r="GF50" s="118"/>
      <c r="GG50" s="118"/>
      <c r="GH50" s="118"/>
      <c r="GI50" s="118"/>
      <c r="GJ50" s="118"/>
      <c r="GK50" s="118"/>
      <c r="GL50" s="118"/>
      <c r="GM50" s="118"/>
      <c r="GN50" s="118"/>
      <c r="GO50" s="118"/>
      <c r="GP50" s="118"/>
      <c r="GQ50" s="118"/>
      <c r="GR50" s="118"/>
      <c r="GS50" s="118"/>
      <c r="GT50" s="118"/>
      <c r="GU50" s="118"/>
      <c r="GV50" s="118"/>
      <c r="GW50" s="118"/>
      <c r="GX50" s="118"/>
      <c r="GY50" s="118"/>
      <c r="GZ50" s="118"/>
      <c r="HA50" s="118"/>
      <c r="HB50" s="118"/>
      <c r="HC50" s="118"/>
      <c r="HD50" s="118"/>
      <c r="HE50" s="118"/>
      <c r="HF50" s="118"/>
      <c r="HG50" s="118"/>
      <c r="HH50" s="118"/>
      <c r="HI50" s="118"/>
      <c r="HJ50" s="118"/>
      <c r="HK50" s="118"/>
      <c r="HL50" s="118"/>
      <c r="HM50" s="118"/>
      <c r="HN50" s="118"/>
      <c r="HO50" s="118"/>
      <c r="HP50" s="118"/>
      <c r="HQ50" s="118"/>
      <c r="HR50" s="118"/>
      <c r="HS50" s="118"/>
      <c r="HT50" s="118"/>
      <c r="HU50" s="118"/>
      <c r="HV50" s="118"/>
      <c r="HW50" s="118"/>
      <c r="HX50" s="118"/>
      <c r="HY50" s="118"/>
      <c r="HZ50" s="118"/>
      <c r="IA50" s="118"/>
      <c r="IB50" s="118"/>
      <c r="IC50" s="118"/>
      <c r="ID50" s="118"/>
      <c r="IE50" s="118"/>
      <c r="IF50" s="118"/>
      <c r="IG50" s="118"/>
      <c r="IH50" s="118"/>
      <c r="II50" s="118"/>
      <c r="IJ50" s="118"/>
      <c r="IK50" s="118"/>
      <c r="IL50" s="118"/>
      <c r="IM50" s="118"/>
      <c r="IN50" s="118"/>
      <c r="IO50" s="118"/>
      <c r="IP50" s="118"/>
      <c r="IQ50" s="118"/>
      <c r="IR50" s="118"/>
      <c r="IS50" s="118"/>
      <c r="IT50" s="118"/>
      <c r="IU50" s="118"/>
      <c r="IV50" s="118"/>
      <c r="IW50" s="118"/>
    </row>
    <row r="51" customFormat="false" ht="15" hidden="false" customHeight="false" outlineLevel="0" collapsed="false">
      <c r="A51" s="118"/>
      <c r="B51" s="118"/>
      <c r="C51" s="118"/>
      <c r="D51" s="118"/>
      <c r="E51" s="118"/>
      <c r="F51" s="118"/>
      <c r="G51" s="118"/>
      <c r="H51" s="118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18"/>
      <c r="CM51" s="118"/>
      <c r="CN51" s="118"/>
      <c r="CO51" s="118"/>
      <c r="CP51" s="118"/>
      <c r="CQ51" s="118"/>
      <c r="CR51" s="118"/>
      <c r="CS51" s="118"/>
      <c r="CT51" s="118"/>
      <c r="CU51" s="118"/>
      <c r="CV51" s="118"/>
      <c r="CW51" s="118"/>
      <c r="CX51" s="118"/>
      <c r="CY51" s="118"/>
      <c r="CZ51" s="118"/>
      <c r="DA51" s="118"/>
      <c r="DB51" s="118"/>
      <c r="DC51" s="118"/>
      <c r="DD51" s="118"/>
      <c r="DE51" s="118"/>
      <c r="DF51" s="118"/>
      <c r="DG51" s="118"/>
      <c r="DH51" s="118"/>
      <c r="DI51" s="118"/>
      <c r="DJ51" s="118"/>
      <c r="DK51" s="118"/>
      <c r="DL51" s="118"/>
      <c r="DM51" s="118"/>
      <c r="DN51" s="118"/>
      <c r="DO51" s="118"/>
      <c r="DP51" s="118"/>
      <c r="DQ51" s="118"/>
      <c r="DR51" s="118"/>
      <c r="DS51" s="118"/>
      <c r="DT51" s="118"/>
      <c r="DU51" s="118"/>
      <c r="DV51" s="118"/>
      <c r="DW51" s="118"/>
      <c r="DX51" s="118"/>
      <c r="DY51" s="118"/>
      <c r="DZ51" s="118"/>
      <c r="EA51" s="118"/>
      <c r="EB51" s="118"/>
      <c r="EC51" s="118"/>
      <c r="ED51" s="118"/>
      <c r="EE51" s="118"/>
      <c r="EF51" s="118"/>
      <c r="EG51" s="118"/>
      <c r="EH51" s="118"/>
      <c r="EI51" s="118"/>
      <c r="EJ51" s="118"/>
      <c r="EK51" s="118"/>
      <c r="EL51" s="118"/>
      <c r="EM51" s="118"/>
      <c r="EN51" s="118"/>
      <c r="EO51" s="118"/>
      <c r="EP51" s="118"/>
      <c r="EQ51" s="118"/>
      <c r="ER51" s="118"/>
      <c r="ES51" s="118"/>
      <c r="ET51" s="118"/>
      <c r="EU51" s="118"/>
      <c r="EV51" s="118"/>
      <c r="EW51" s="118"/>
      <c r="EX51" s="118"/>
      <c r="EY51" s="118"/>
      <c r="EZ51" s="118"/>
      <c r="FA51" s="118"/>
      <c r="FB51" s="118"/>
      <c r="FC51" s="118"/>
      <c r="FD51" s="118"/>
      <c r="FE51" s="118"/>
      <c r="FF51" s="118"/>
      <c r="FG51" s="118"/>
      <c r="FH51" s="118"/>
      <c r="FI51" s="118"/>
      <c r="FJ51" s="118"/>
      <c r="FK51" s="118"/>
      <c r="FL51" s="118"/>
      <c r="FM51" s="118"/>
      <c r="FN51" s="118"/>
      <c r="FO51" s="118"/>
      <c r="FP51" s="118"/>
      <c r="FQ51" s="118"/>
      <c r="FR51" s="118"/>
      <c r="FS51" s="118"/>
      <c r="FT51" s="118"/>
      <c r="FU51" s="118"/>
      <c r="FV51" s="118"/>
      <c r="FW51" s="118"/>
      <c r="FX51" s="118"/>
      <c r="FY51" s="118"/>
      <c r="FZ51" s="118"/>
      <c r="GA51" s="118"/>
      <c r="GB51" s="118"/>
      <c r="GC51" s="118"/>
      <c r="GD51" s="118"/>
      <c r="GE51" s="118"/>
      <c r="GF51" s="118"/>
      <c r="GG51" s="118"/>
      <c r="GH51" s="118"/>
      <c r="GI51" s="118"/>
      <c r="GJ51" s="118"/>
      <c r="GK51" s="118"/>
      <c r="GL51" s="118"/>
      <c r="GM51" s="118"/>
      <c r="GN51" s="118"/>
      <c r="GO51" s="118"/>
      <c r="GP51" s="118"/>
      <c r="GQ51" s="118"/>
      <c r="GR51" s="118"/>
      <c r="GS51" s="118"/>
      <c r="GT51" s="118"/>
      <c r="GU51" s="118"/>
      <c r="GV51" s="118"/>
      <c r="GW51" s="118"/>
      <c r="GX51" s="118"/>
      <c r="GY51" s="118"/>
      <c r="GZ51" s="118"/>
      <c r="HA51" s="118"/>
      <c r="HB51" s="118"/>
      <c r="HC51" s="118"/>
      <c r="HD51" s="118"/>
      <c r="HE51" s="118"/>
      <c r="HF51" s="118"/>
      <c r="HG51" s="118"/>
      <c r="HH51" s="118"/>
      <c r="HI51" s="118"/>
      <c r="HJ51" s="118"/>
      <c r="HK51" s="118"/>
      <c r="HL51" s="118"/>
      <c r="HM51" s="118"/>
      <c r="HN51" s="118"/>
      <c r="HO51" s="118"/>
      <c r="HP51" s="118"/>
      <c r="HQ51" s="118"/>
      <c r="HR51" s="118"/>
      <c r="HS51" s="118"/>
      <c r="HT51" s="118"/>
      <c r="HU51" s="118"/>
      <c r="HV51" s="118"/>
      <c r="HW51" s="118"/>
      <c r="HX51" s="118"/>
      <c r="HY51" s="118"/>
      <c r="HZ51" s="118"/>
      <c r="IA51" s="118"/>
      <c r="IB51" s="118"/>
      <c r="IC51" s="118"/>
      <c r="ID51" s="118"/>
      <c r="IE51" s="118"/>
      <c r="IF51" s="118"/>
      <c r="IG51" s="118"/>
      <c r="IH51" s="118"/>
      <c r="II51" s="118"/>
      <c r="IJ51" s="118"/>
      <c r="IK51" s="118"/>
      <c r="IL51" s="118"/>
      <c r="IM51" s="118"/>
      <c r="IN51" s="118"/>
      <c r="IO51" s="118"/>
      <c r="IP51" s="118"/>
      <c r="IQ51" s="118"/>
      <c r="IR51" s="118"/>
      <c r="IS51" s="118"/>
      <c r="IT51" s="118"/>
      <c r="IU51" s="118"/>
      <c r="IV51" s="118"/>
      <c r="IW51" s="118"/>
    </row>
    <row r="52" customFormat="false" ht="15" hidden="false" customHeight="false" outlineLevel="0" collapsed="false">
      <c r="A52" s="118"/>
      <c r="B52" s="118"/>
      <c r="C52" s="118"/>
      <c r="D52" s="118"/>
      <c r="E52" s="118"/>
      <c r="F52" s="118"/>
      <c r="G52" s="118"/>
      <c r="H52" s="118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18"/>
      <c r="BS52" s="118"/>
      <c r="BT52" s="118"/>
      <c r="BU52" s="118"/>
      <c r="BV52" s="118"/>
      <c r="BW52" s="118"/>
      <c r="BX52" s="118"/>
      <c r="BY52" s="118"/>
      <c r="BZ52" s="118"/>
      <c r="CA52" s="118"/>
      <c r="CB52" s="118"/>
      <c r="CC52" s="118"/>
      <c r="CD52" s="118"/>
      <c r="CE52" s="118"/>
      <c r="CF52" s="118"/>
      <c r="CG52" s="118"/>
      <c r="CH52" s="118"/>
      <c r="CI52" s="118"/>
      <c r="CJ52" s="118"/>
      <c r="CK52" s="118"/>
      <c r="CL52" s="118"/>
      <c r="CM52" s="118"/>
      <c r="CN52" s="118"/>
      <c r="CO52" s="118"/>
      <c r="CP52" s="118"/>
      <c r="CQ52" s="118"/>
      <c r="CR52" s="118"/>
      <c r="CS52" s="118"/>
      <c r="CT52" s="118"/>
      <c r="CU52" s="118"/>
      <c r="CV52" s="118"/>
      <c r="CW52" s="118"/>
      <c r="CX52" s="118"/>
      <c r="CY52" s="118"/>
      <c r="CZ52" s="118"/>
      <c r="DA52" s="118"/>
      <c r="DB52" s="118"/>
      <c r="DC52" s="118"/>
      <c r="DD52" s="118"/>
      <c r="DE52" s="118"/>
      <c r="DF52" s="118"/>
      <c r="DG52" s="118"/>
      <c r="DH52" s="118"/>
      <c r="DI52" s="118"/>
      <c r="DJ52" s="118"/>
      <c r="DK52" s="118"/>
      <c r="DL52" s="118"/>
      <c r="DM52" s="118"/>
      <c r="DN52" s="118"/>
      <c r="DO52" s="118"/>
      <c r="DP52" s="118"/>
      <c r="DQ52" s="118"/>
      <c r="DR52" s="118"/>
      <c r="DS52" s="118"/>
      <c r="DT52" s="118"/>
      <c r="DU52" s="118"/>
      <c r="DV52" s="118"/>
      <c r="DW52" s="118"/>
      <c r="DX52" s="118"/>
      <c r="DY52" s="118"/>
      <c r="DZ52" s="118"/>
      <c r="EA52" s="118"/>
      <c r="EB52" s="118"/>
      <c r="EC52" s="118"/>
      <c r="ED52" s="118"/>
      <c r="EE52" s="118"/>
      <c r="EF52" s="118"/>
      <c r="EG52" s="118"/>
      <c r="EH52" s="118"/>
      <c r="EI52" s="118"/>
      <c r="EJ52" s="118"/>
      <c r="EK52" s="118"/>
      <c r="EL52" s="118"/>
      <c r="EM52" s="118"/>
      <c r="EN52" s="118"/>
      <c r="EO52" s="118"/>
      <c r="EP52" s="118"/>
      <c r="EQ52" s="118"/>
      <c r="ER52" s="118"/>
      <c r="ES52" s="118"/>
      <c r="ET52" s="118"/>
      <c r="EU52" s="118"/>
      <c r="EV52" s="118"/>
      <c r="EW52" s="118"/>
      <c r="EX52" s="118"/>
      <c r="EY52" s="118"/>
      <c r="EZ52" s="118"/>
      <c r="FA52" s="118"/>
      <c r="FB52" s="118"/>
      <c r="FC52" s="118"/>
      <c r="FD52" s="118"/>
      <c r="FE52" s="118"/>
      <c r="FF52" s="118"/>
      <c r="FG52" s="118"/>
      <c r="FH52" s="118"/>
      <c r="FI52" s="118"/>
      <c r="FJ52" s="118"/>
      <c r="FK52" s="118"/>
      <c r="FL52" s="118"/>
      <c r="FM52" s="118"/>
      <c r="FN52" s="118"/>
      <c r="FO52" s="118"/>
      <c r="FP52" s="118"/>
      <c r="FQ52" s="118"/>
      <c r="FR52" s="118"/>
      <c r="FS52" s="118"/>
      <c r="FT52" s="118"/>
      <c r="FU52" s="118"/>
      <c r="FV52" s="118"/>
      <c r="FW52" s="118"/>
      <c r="FX52" s="118"/>
      <c r="FY52" s="118"/>
      <c r="FZ52" s="118"/>
      <c r="GA52" s="118"/>
      <c r="GB52" s="118"/>
      <c r="GC52" s="118"/>
      <c r="GD52" s="118"/>
      <c r="GE52" s="118"/>
      <c r="GF52" s="118"/>
      <c r="GG52" s="118"/>
      <c r="GH52" s="118"/>
      <c r="GI52" s="118"/>
      <c r="GJ52" s="118"/>
      <c r="GK52" s="118"/>
      <c r="GL52" s="118"/>
      <c r="GM52" s="118"/>
      <c r="GN52" s="118"/>
      <c r="GO52" s="118"/>
      <c r="GP52" s="118"/>
      <c r="GQ52" s="118"/>
      <c r="GR52" s="118"/>
      <c r="GS52" s="118"/>
      <c r="GT52" s="118"/>
      <c r="GU52" s="118"/>
      <c r="GV52" s="118"/>
      <c r="GW52" s="118"/>
      <c r="GX52" s="118"/>
      <c r="GY52" s="118"/>
      <c r="GZ52" s="118"/>
      <c r="HA52" s="118"/>
      <c r="HB52" s="118"/>
      <c r="HC52" s="118"/>
      <c r="HD52" s="118"/>
      <c r="HE52" s="118"/>
      <c r="HF52" s="118"/>
      <c r="HG52" s="118"/>
      <c r="HH52" s="118"/>
      <c r="HI52" s="118"/>
      <c r="HJ52" s="118"/>
      <c r="HK52" s="118"/>
      <c r="HL52" s="118"/>
      <c r="HM52" s="118"/>
      <c r="HN52" s="118"/>
      <c r="HO52" s="118"/>
      <c r="HP52" s="118"/>
      <c r="HQ52" s="118"/>
      <c r="HR52" s="118"/>
      <c r="HS52" s="118"/>
      <c r="HT52" s="118"/>
      <c r="HU52" s="118"/>
      <c r="HV52" s="118"/>
      <c r="HW52" s="118"/>
      <c r="HX52" s="118"/>
      <c r="HY52" s="118"/>
      <c r="HZ52" s="118"/>
      <c r="IA52" s="118"/>
      <c r="IB52" s="118"/>
      <c r="IC52" s="118"/>
      <c r="ID52" s="118"/>
      <c r="IE52" s="118"/>
      <c r="IF52" s="118"/>
      <c r="IG52" s="118"/>
      <c r="IH52" s="118"/>
      <c r="II52" s="118"/>
      <c r="IJ52" s="118"/>
      <c r="IK52" s="118"/>
      <c r="IL52" s="118"/>
      <c r="IM52" s="118"/>
      <c r="IN52" s="118"/>
      <c r="IO52" s="118"/>
      <c r="IP52" s="118"/>
      <c r="IQ52" s="118"/>
      <c r="IR52" s="118"/>
      <c r="IS52" s="118"/>
      <c r="IT52" s="118"/>
      <c r="IU52" s="118"/>
      <c r="IV52" s="118"/>
      <c r="IW52" s="118"/>
    </row>
  </sheetData>
  <mergeCells count="41">
    <mergeCell ref="A1:H1"/>
    <mergeCell ref="M1:O3"/>
    <mergeCell ref="A2:A3"/>
    <mergeCell ref="B2:B3"/>
    <mergeCell ref="C2:C3"/>
    <mergeCell ref="G2:G3"/>
    <mergeCell ref="H2:H3"/>
    <mergeCell ref="M5:O5"/>
    <mergeCell ref="V5:AB5"/>
    <mergeCell ref="G7:H7"/>
    <mergeCell ref="V7:AA7"/>
    <mergeCell ref="M8:O8"/>
    <mergeCell ref="V8:X8"/>
    <mergeCell ref="G9:H9"/>
    <mergeCell ref="V9:AA9"/>
    <mergeCell ref="AD9:AH9"/>
    <mergeCell ref="A11:H11"/>
    <mergeCell ref="M11:O11"/>
    <mergeCell ref="V11:AA12"/>
    <mergeCell ref="AD11:AH12"/>
    <mergeCell ref="A12:B12"/>
    <mergeCell ref="D12:E12"/>
    <mergeCell ref="G12:H12"/>
    <mergeCell ref="L12:L15"/>
    <mergeCell ref="A13:B13"/>
    <mergeCell ref="D13:E13"/>
    <mergeCell ref="F13:H13"/>
    <mergeCell ref="A14:B14"/>
    <mergeCell ref="D14:E14"/>
    <mergeCell ref="G14:H14"/>
    <mergeCell ref="M14:O14"/>
    <mergeCell ref="V14:AA15"/>
    <mergeCell ref="AD14:AH15"/>
    <mergeCell ref="A15:H15"/>
    <mergeCell ref="C17:D17"/>
    <mergeCell ref="M17:O17"/>
    <mergeCell ref="V17:AA18"/>
    <mergeCell ref="AD17:AH18"/>
    <mergeCell ref="M20:O20"/>
    <mergeCell ref="V20:AA22"/>
    <mergeCell ref="AD20:AH2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CC00"/>
    <pageSetUpPr fitToPage="false"/>
  </sheetPr>
  <dimension ref="A1:K80"/>
  <sheetViews>
    <sheetView showFormulas="false" showGridLines="true" showRowColHeaders="true" showZeros="true" rightToLeft="false" tabSelected="false" showOutlineSymbols="true" defaultGridColor="true" view="normal" topLeftCell="A57" colorId="64" zoomScale="100" zoomScaleNormal="100" zoomScalePageLayoutView="100" workbookViewId="0">
      <selection pane="topLeft" activeCell="B59" activeCellId="0" sqref="B59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24.56"/>
    <col collapsed="false" customWidth="true" hidden="false" outlineLevel="0" max="2" min="2" style="0" width="14.99"/>
    <col collapsed="false" customWidth="true" hidden="false" outlineLevel="0" max="3" min="3" style="0" width="22.14"/>
    <col collapsed="false" customWidth="true" hidden="false" outlineLevel="0" max="4" min="4" style="0" width="19.99"/>
    <col collapsed="false" customWidth="true" hidden="false" outlineLevel="0" max="5" min="5" style="0" width="11.7"/>
    <col collapsed="false" customWidth="true" hidden="false" outlineLevel="0" max="6" min="6" style="0" width="42.85"/>
  </cols>
  <sheetData>
    <row r="1" customFormat="false" ht="12.75" hidden="false" customHeight="true" outlineLevel="0" collapsed="false">
      <c r="A1" s="124" t="s">
        <v>48</v>
      </c>
      <c r="B1" s="124"/>
      <c r="C1" s="124"/>
      <c r="D1" s="124"/>
      <c r="E1" s="124"/>
      <c r="F1" s="124"/>
      <c r="G1" s="124"/>
      <c r="H1" s="124"/>
    </row>
    <row r="2" customFormat="false" ht="12.75" hidden="false" customHeight="false" outlineLevel="0" collapsed="false">
      <c r="A2" s="124"/>
      <c r="B2" s="124"/>
      <c r="C2" s="124"/>
      <c r="D2" s="124"/>
      <c r="E2" s="124"/>
      <c r="F2" s="124"/>
      <c r="G2" s="124"/>
      <c r="H2" s="124"/>
    </row>
    <row r="3" customFormat="false" ht="13.5" hidden="false" customHeight="false" outlineLevel="0" collapsed="false">
      <c r="A3" s="124"/>
      <c r="B3" s="124"/>
      <c r="C3" s="124"/>
      <c r="D3" s="124"/>
      <c r="E3" s="124"/>
      <c r="F3" s="124"/>
      <c r="G3" s="124"/>
      <c r="H3" s="124"/>
    </row>
    <row r="7" customFormat="false" ht="13.5" hidden="false" customHeight="false" outlineLevel="0" collapsed="false"/>
    <row r="8" customFormat="false" ht="13.5" hidden="false" customHeight="false" outlineLevel="0" collapsed="false">
      <c r="B8" s="125" t="s">
        <v>49</v>
      </c>
      <c r="C8" s="125" t="s">
        <v>50</v>
      </c>
      <c r="D8" s="126" t="s">
        <v>51</v>
      </c>
    </row>
    <row r="9" customFormat="false" ht="12.75" hidden="false" customHeight="false" outlineLevel="0" collapsed="false">
      <c r="B9" s="127" t="n">
        <v>0.8</v>
      </c>
      <c r="C9" s="128" t="n">
        <v>32</v>
      </c>
      <c r="D9" s="129" t="n">
        <v>3</v>
      </c>
    </row>
    <row r="10" customFormat="false" ht="12.75" hidden="false" customHeight="false" outlineLevel="0" collapsed="false">
      <c r="B10" s="127"/>
      <c r="C10" s="128"/>
      <c r="D10" s="129"/>
    </row>
    <row r="11" customFormat="false" ht="12.75" hidden="false" customHeight="false" outlineLevel="0" collapsed="false">
      <c r="B11" s="127"/>
      <c r="C11" s="128"/>
      <c r="D11" s="129"/>
    </row>
    <row r="12" customFormat="false" ht="13.5" hidden="false" customHeight="false" outlineLevel="0" collapsed="false">
      <c r="B12" s="127"/>
      <c r="C12" s="128"/>
      <c r="D12" s="129"/>
    </row>
    <row r="13" customFormat="false" ht="12.75" hidden="false" customHeight="false" outlineLevel="0" collapsed="false">
      <c r="F13" s="130" t="s">
        <v>52</v>
      </c>
      <c r="G13" s="131" t="n">
        <f aca="false">B17*A16*B9*8/1000+10</f>
        <v>5386</v>
      </c>
    </row>
    <row r="14" customFormat="false" ht="12.75" hidden="false" customHeight="false" outlineLevel="0" collapsed="false">
      <c r="F14" s="130" t="s">
        <v>53</v>
      </c>
      <c r="G14" s="131" t="n">
        <f aca="false">G22*G16*B9*8*2/1000</f>
        <v>2073.6</v>
      </c>
    </row>
    <row r="15" customFormat="false" ht="13.5" hidden="false" customHeight="false" outlineLevel="0" collapsed="false"/>
    <row r="16" customFormat="false" ht="13.5" hidden="false" customHeight="false" outlineLevel="0" collapsed="false">
      <c r="A16" s="0" t="n">
        <v>700</v>
      </c>
      <c r="B16" s="132" t="s">
        <v>54</v>
      </c>
      <c r="C16" s="132" t="s">
        <v>55</v>
      </c>
      <c r="D16" s="132" t="s">
        <v>50</v>
      </c>
      <c r="G16" s="131" t="n">
        <v>360</v>
      </c>
    </row>
    <row r="17" customFormat="false" ht="12.75" hidden="false" customHeight="false" outlineLevel="0" collapsed="false">
      <c r="B17" s="133" t="n">
        <v>1200</v>
      </c>
      <c r="C17" s="134" t="n">
        <f aca="false">G13+G14</f>
        <v>7459.6</v>
      </c>
      <c r="D17" s="135" t="n">
        <f aca="false">C9*C17*D9/1000</f>
        <v>716.1216</v>
      </c>
    </row>
    <row r="18" customFormat="false" ht="12.75" hidden="false" customHeight="true" outlineLevel="0" collapsed="false">
      <c r="A18" s="136" t="s">
        <v>56</v>
      </c>
      <c r="B18" s="133"/>
      <c r="C18" s="134"/>
      <c r="D18" s="135"/>
    </row>
    <row r="19" customFormat="false" ht="12.75" hidden="false" customHeight="false" outlineLevel="0" collapsed="false">
      <c r="A19" s="136"/>
      <c r="B19" s="133"/>
      <c r="C19" s="134"/>
      <c r="D19" s="135"/>
    </row>
    <row r="20" customFormat="false" ht="13.5" hidden="false" customHeight="false" outlineLevel="0" collapsed="false">
      <c r="A20" s="136"/>
      <c r="B20" s="133"/>
      <c r="C20" s="134"/>
      <c r="D20" s="135"/>
    </row>
    <row r="22" customFormat="false" ht="12.75" hidden="false" customHeight="false" outlineLevel="0" collapsed="false">
      <c r="G22" s="131" t="n">
        <v>450</v>
      </c>
    </row>
    <row r="23" customFormat="false" ht="13.5" hidden="false" customHeight="false" outlineLevel="0" collapsed="false"/>
    <row r="24" customFormat="false" ht="13.5" hidden="false" customHeight="false" outlineLevel="0" collapsed="false">
      <c r="B24" s="137" t="s">
        <v>57</v>
      </c>
      <c r="C24" s="137" t="s">
        <v>55</v>
      </c>
      <c r="D24" s="137" t="s">
        <v>50</v>
      </c>
    </row>
    <row r="25" customFormat="false" ht="13.5" hidden="false" customHeight="false" outlineLevel="0" collapsed="false">
      <c r="B25" s="138" t="n">
        <f aca="false">B17</f>
        <v>1200</v>
      </c>
      <c r="C25" s="139" t="n">
        <f aca="false">C17+250</f>
        <v>7709.6</v>
      </c>
      <c r="D25" s="140" t="n">
        <f aca="false">C25*C9*D9/1000</f>
        <v>740.1216</v>
      </c>
    </row>
    <row r="26" customFormat="false" ht="12.75" hidden="false" customHeight="true" outlineLevel="0" collapsed="false">
      <c r="A26" s="141" t="s">
        <v>58</v>
      </c>
      <c r="B26" s="138"/>
      <c r="C26" s="139"/>
      <c r="D26" s="140"/>
    </row>
    <row r="27" customFormat="false" ht="12.75" hidden="false" customHeight="false" outlineLevel="0" collapsed="false">
      <c r="A27" s="141"/>
      <c r="B27" s="138"/>
      <c r="C27" s="139"/>
      <c r="D27" s="140"/>
    </row>
    <row r="28" customFormat="false" ht="13.5" hidden="false" customHeight="false" outlineLevel="0" collapsed="false">
      <c r="A28" s="141"/>
      <c r="B28" s="138"/>
      <c r="C28" s="139"/>
      <c r="D28" s="140"/>
    </row>
    <row r="31" customFormat="false" ht="13.5" hidden="false" customHeight="false" outlineLevel="0" collapsed="false">
      <c r="I31" s="0" t="n">
        <v>360</v>
      </c>
    </row>
    <row r="32" customFormat="false" ht="13.5" hidden="false" customHeight="false" outlineLevel="0" collapsed="false">
      <c r="A32" s="0" t="n">
        <v>1000</v>
      </c>
      <c r="B32" s="142" t="s">
        <v>57</v>
      </c>
      <c r="C32" s="142" t="s">
        <v>55</v>
      </c>
      <c r="D32" s="142" t="s">
        <v>50</v>
      </c>
    </row>
    <row r="33" customFormat="false" ht="13.5" hidden="false" customHeight="false" outlineLevel="0" collapsed="false">
      <c r="B33" s="143" t="n">
        <f aca="false">B17</f>
        <v>1200</v>
      </c>
      <c r="C33" s="144" t="n">
        <f aca="false">G33+G34</f>
        <v>8140</v>
      </c>
      <c r="D33" s="145" t="n">
        <f aca="false">C33*C9*D9/1000</f>
        <v>781.44</v>
      </c>
      <c r="F33" s="130" t="s">
        <v>59</v>
      </c>
      <c r="G33" s="131" t="n">
        <f aca="false">B33*A32*B9*8/1000+10</f>
        <v>7690</v>
      </c>
    </row>
    <row r="34" customFormat="false" ht="12.75" hidden="false" customHeight="true" outlineLevel="0" collapsed="false">
      <c r="A34" s="146" t="s">
        <v>60</v>
      </c>
      <c r="B34" s="143"/>
      <c r="C34" s="144"/>
      <c r="D34" s="145"/>
      <c r="F34" s="130" t="s">
        <v>61</v>
      </c>
      <c r="G34" s="131" t="n">
        <v>450</v>
      </c>
      <c r="I34" s="0" t="n">
        <v>450</v>
      </c>
    </row>
    <row r="35" customFormat="false" ht="12.75" hidden="false" customHeight="false" outlineLevel="0" collapsed="false">
      <c r="A35" s="146"/>
      <c r="B35" s="143"/>
      <c r="C35" s="144"/>
      <c r="D35" s="145"/>
    </row>
    <row r="36" customFormat="false" ht="13.5" hidden="false" customHeight="false" outlineLevel="0" collapsed="false">
      <c r="A36" s="146"/>
      <c r="B36" s="143"/>
      <c r="C36" s="144"/>
      <c r="D36" s="145"/>
    </row>
    <row r="40" customFormat="false" ht="13.5" hidden="false" customHeight="false" outlineLevel="0" collapsed="false"/>
    <row r="41" customFormat="false" ht="12.75" hidden="false" customHeight="true" outlineLevel="0" collapsed="false">
      <c r="B41" s="147" t="s">
        <v>62</v>
      </c>
      <c r="C41" s="147"/>
      <c r="D41" s="147"/>
      <c r="E41" s="147"/>
      <c r="F41" s="147"/>
      <c r="G41" s="147"/>
      <c r="H41" s="147"/>
    </row>
    <row r="42" customFormat="false" ht="12.75" hidden="false" customHeight="false" outlineLevel="0" collapsed="false">
      <c r="B42" s="147"/>
      <c r="C42" s="147"/>
      <c r="D42" s="147"/>
      <c r="E42" s="147"/>
      <c r="F42" s="147"/>
      <c r="G42" s="147"/>
      <c r="H42" s="147"/>
    </row>
    <row r="43" customFormat="false" ht="12.75" hidden="false" customHeight="false" outlineLevel="0" collapsed="false">
      <c r="B43" s="147"/>
      <c r="C43" s="147"/>
      <c r="D43" s="147"/>
      <c r="E43" s="147"/>
      <c r="F43" s="147"/>
      <c r="G43" s="147"/>
      <c r="H43" s="147"/>
    </row>
    <row r="44" customFormat="false" ht="13.5" hidden="false" customHeight="false" outlineLevel="0" collapsed="false">
      <c r="B44" s="147"/>
      <c r="C44" s="147"/>
      <c r="D44" s="147"/>
      <c r="E44" s="147"/>
      <c r="F44" s="147"/>
      <c r="G44" s="147"/>
      <c r="H44" s="147"/>
    </row>
    <row r="46" customFormat="false" ht="13.5" hidden="false" customHeight="false" outlineLevel="0" collapsed="false"/>
    <row r="47" customFormat="false" ht="13.5" hidden="false" customHeight="false" outlineLevel="0" collapsed="false">
      <c r="B47" s="125" t="s">
        <v>49</v>
      </c>
      <c r="C47" s="125" t="s">
        <v>50</v>
      </c>
      <c r="D47" s="126" t="s">
        <v>51</v>
      </c>
    </row>
    <row r="48" customFormat="false" ht="12.75" hidden="false" customHeight="false" outlineLevel="0" collapsed="false">
      <c r="B48" s="127" t="n">
        <v>1.2</v>
      </c>
      <c r="C48" s="148" t="n">
        <v>35</v>
      </c>
      <c r="D48" s="129" t="n">
        <v>2.8</v>
      </c>
    </row>
    <row r="49" customFormat="false" ht="12.75" hidden="false" customHeight="false" outlineLevel="0" collapsed="false">
      <c r="B49" s="127"/>
      <c r="C49" s="148"/>
      <c r="D49" s="129"/>
      <c r="F49" s="131" t="s">
        <v>63</v>
      </c>
      <c r="G49" s="131" t="n">
        <v>8</v>
      </c>
    </row>
    <row r="50" customFormat="false" ht="12.75" hidden="false" customHeight="false" outlineLevel="0" collapsed="false">
      <c r="B50" s="127"/>
      <c r="C50" s="148"/>
      <c r="D50" s="129"/>
      <c r="G50" s="0" t="s">
        <v>64</v>
      </c>
    </row>
    <row r="51" customFormat="false" ht="13.5" hidden="false" customHeight="false" outlineLevel="0" collapsed="false">
      <c r="B51" s="127"/>
      <c r="C51" s="148"/>
      <c r="D51" s="129"/>
    </row>
    <row r="54" customFormat="false" ht="13.5" hidden="false" customHeight="false" outlineLevel="0" collapsed="false"/>
    <row r="55" customFormat="false" ht="13.5" hidden="false" customHeight="false" outlineLevel="0" collapsed="false">
      <c r="B55" s="137" t="s">
        <v>65</v>
      </c>
      <c r="C55" s="137" t="s">
        <v>66</v>
      </c>
      <c r="D55" s="137" t="s">
        <v>67</v>
      </c>
      <c r="E55" s="137" t="s">
        <v>68</v>
      </c>
      <c r="F55" s="149" t="s">
        <v>50</v>
      </c>
    </row>
    <row r="56" customFormat="false" ht="12.75" hidden="false" customHeight="true" outlineLevel="0" collapsed="false">
      <c r="A56" s="150" t="s">
        <v>69</v>
      </c>
      <c r="B56" s="151" t="n">
        <v>3250</v>
      </c>
      <c r="C56" s="151" t="n">
        <v>480</v>
      </c>
      <c r="D56" s="152" t="n">
        <v>450</v>
      </c>
      <c r="E56" s="152" t="n">
        <v>400</v>
      </c>
      <c r="F56" s="153" t="n">
        <f aca="false">B56+C56+D56+E56+G49*D48*C48*B48</f>
        <v>5520.8</v>
      </c>
    </row>
    <row r="57" customFormat="false" ht="12.75" hidden="false" customHeight="false" outlineLevel="0" collapsed="false">
      <c r="A57" s="150"/>
      <c r="B57" s="151"/>
      <c r="C57" s="151"/>
      <c r="D57" s="152"/>
      <c r="E57" s="152"/>
      <c r="F57" s="152"/>
    </row>
    <row r="58" customFormat="false" ht="13.5" hidden="false" customHeight="false" outlineLevel="0" collapsed="false">
      <c r="A58" s="150"/>
      <c r="B58" s="151"/>
      <c r="C58" s="151"/>
      <c r="D58" s="152"/>
      <c r="E58" s="152"/>
      <c r="F58" s="152"/>
    </row>
    <row r="59" customFormat="false" ht="12.75" hidden="false" customHeight="false" outlineLevel="0" collapsed="false">
      <c r="B59" s="131"/>
      <c r="C59" s="131" t="n">
        <f aca="false">B59*D59*B48*B18/1000</f>
        <v>0</v>
      </c>
      <c r="D59" s="131" t="n">
        <f aca="false">D56+50</f>
        <v>500</v>
      </c>
      <c r="E59" s="131" t="n">
        <f aca="false">E56+30</f>
        <v>430</v>
      </c>
      <c r="F59" s="131"/>
    </row>
    <row r="60" customFormat="false" ht="12.75" hidden="false" customHeight="false" outlineLevel="0" collapsed="false">
      <c r="B60" s="131" t="n">
        <v>3</v>
      </c>
      <c r="C60" s="131"/>
      <c r="D60" s="131"/>
      <c r="E60" s="131"/>
      <c r="F60" s="131"/>
    </row>
    <row r="61" customFormat="false" ht="12.75" hidden="false" customHeight="false" outlineLevel="0" collapsed="false">
      <c r="B61" s="131"/>
      <c r="C61" s="131" t="n">
        <f aca="false">+B56/100</f>
        <v>32.5</v>
      </c>
      <c r="D61" s="131"/>
      <c r="E61" s="131"/>
      <c r="F61" s="131"/>
    </row>
    <row r="62" customFormat="false" ht="12.75" hidden="false" customHeight="false" outlineLevel="0" collapsed="false">
      <c r="B62" s="131"/>
      <c r="C62" s="131"/>
      <c r="D62" s="131" t="n">
        <f aca="false">B56/1000</f>
        <v>3.25</v>
      </c>
      <c r="E62" s="131"/>
      <c r="F62" s="131"/>
    </row>
    <row r="63" customFormat="false" ht="12.75" hidden="false" customHeight="false" outlineLevel="0" collapsed="false">
      <c r="B63" s="154" t="n">
        <f aca="false">B56+C56+D56+E56*C48</f>
        <v>18180</v>
      </c>
      <c r="C63" s="131"/>
      <c r="D63" s="131"/>
      <c r="E63" s="131"/>
      <c r="F63" s="131"/>
      <c r="K63" s="0" t="n">
        <v>9000</v>
      </c>
    </row>
    <row r="64" customFormat="false" ht="12.75" hidden="false" customHeight="false" outlineLevel="0" collapsed="false">
      <c r="B64" s="131"/>
      <c r="C64" s="131"/>
      <c r="D64" s="131"/>
      <c r="E64" s="131"/>
      <c r="F64" s="131"/>
      <c r="I64" s="0" t="n">
        <v>3000</v>
      </c>
      <c r="J64" s="0" t="n">
        <v>0</v>
      </c>
      <c r="K64" s="0" t="n">
        <v>1512</v>
      </c>
    </row>
    <row r="65" customFormat="false" ht="12.75" hidden="false" customHeight="false" outlineLevel="0" collapsed="false">
      <c r="B65" s="131"/>
      <c r="C65" s="131"/>
      <c r="D65" s="131"/>
      <c r="E65" s="131"/>
      <c r="F65" s="131" t="n">
        <v>3880</v>
      </c>
      <c r="G65" s="0" t="n">
        <v>2614</v>
      </c>
      <c r="I65" s="0" t="n">
        <v>210</v>
      </c>
      <c r="J65" s="0" t="n">
        <v>504</v>
      </c>
      <c r="K65" s="0" t="n">
        <v>306</v>
      </c>
    </row>
    <row r="66" customFormat="false" ht="12.75" hidden="false" customHeight="false" outlineLevel="0" collapsed="false">
      <c r="B66" s="131"/>
      <c r="C66" s="131"/>
      <c r="D66" s="131"/>
      <c r="E66" s="131"/>
      <c r="F66" s="131" t="n">
        <v>579</v>
      </c>
      <c r="G66" s="0" t="n">
        <v>210</v>
      </c>
      <c r="I66" s="0" t="n">
        <v>210</v>
      </c>
      <c r="J66" s="0" t="n">
        <v>102.6</v>
      </c>
      <c r="K66" s="0" t="n">
        <v>432</v>
      </c>
    </row>
    <row r="67" customFormat="false" ht="12.75" hidden="false" customHeight="false" outlineLevel="0" collapsed="false">
      <c r="A67" s="0" t="n">
        <f aca="false">B59=B6*C6*D3*8/1000000</f>
        <v>1</v>
      </c>
      <c r="B67" s="131"/>
      <c r="C67" s="155" t="n">
        <f aca="false">(B56/1000)*(C56+D56+100+E56)</f>
        <v>4647.5</v>
      </c>
      <c r="D67" s="131"/>
      <c r="E67" s="131"/>
      <c r="F67" s="131"/>
      <c r="G67" s="0" t="n">
        <v>210</v>
      </c>
      <c r="I67" s="0" t="n">
        <v>197.5</v>
      </c>
      <c r="J67" s="0" t="n">
        <v>144</v>
      </c>
      <c r="K67" s="0" t="n">
        <v>3474</v>
      </c>
    </row>
    <row r="68" customFormat="false" ht="12.75" hidden="false" customHeight="false" outlineLevel="0" collapsed="false">
      <c r="B68" s="131"/>
      <c r="C68" s="131"/>
      <c r="D68" s="131"/>
      <c r="E68" s="131"/>
      <c r="F68" s="131"/>
      <c r="G68" s="0" t="n">
        <v>42.5</v>
      </c>
      <c r="I68" s="0" t="n">
        <v>197.5</v>
      </c>
      <c r="J68" s="0" t="n">
        <v>1158</v>
      </c>
      <c r="K68" s="0" t="n">
        <v>240</v>
      </c>
    </row>
    <row r="69" customFormat="false" ht="12.75" hidden="false" customHeight="false" outlineLevel="0" collapsed="false">
      <c r="G69" s="0" t="n">
        <v>42.5</v>
      </c>
      <c r="I69" s="0" t="n">
        <v>80</v>
      </c>
      <c r="J69" s="0" t="n">
        <v>80</v>
      </c>
      <c r="K69" s="0" t="n">
        <v>595</v>
      </c>
    </row>
    <row r="70" customFormat="false" ht="12.75" hidden="false" customHeight="false" outlineLevel="0" collapsed="false">
      <c r="G70" s="0" t="n">
        <v>60</v>
      </c>
      <c r="I70" s="0" t="n">
        <v>45</v>
      </c>
    </row>
    <row r="71" customFormat="false" ht="12.75" hidden="false" customHeight="false" outlineLevel="0" collapsed="false">
      <c r="G71" s="0" t="n">
        <v>60</v>
      </c>
      <c r="I71" s="0" t="n">
        <v>42.5</v>
      </c>
    </row>
    <row r="72" customFormat="false" ht="13.5" hidden="false" customHeight="false" outlineLevel="0" collapsed="false">
      <c r="G72" s="0" t="n">
        <v>197.5</v>
      </c>
      <c r="I72" s="0" t="n">
        <v>60</v>
      </c>
    </row>
    <row r="73" customFormat="false" ht="13.5" hidden="false" customHeight="true" outlineLevel="0" collapsed="false">
      <c r="A73" s="156" t="s">
        <v>70</v>
      </c>
      <c r="B73" s="157"/>
      <c r="C73" s="158"/>
      <c r="D73" s="159"/>
      <c r="G73" s="0" t="n">
        <v>197.5</v>
      </c>
    </row>
    <row r="74" customFormat="false" ht="12.75" hidden="false" customHeight="false" outlineLevel="0" collapsed="false">
      <c r="A74" s="160" t="s">
        <v>71</v>
      </c>
      <c r="B74" s="161" t="n">
        <v>84</v>
      </c>
      <c r="C74" s="162" t="n">
        <v>2.5</v>
      </c>
      <c r="D74" s="163" t="n">
        <f aca="false">SUM(B74*C74)</f>
        <v>210</v>
      </c>
    </row>
    <row r="75" customFormat="false" ht="12.75" hidden="false" customHeight="false" outlineLevel="0" collapsed="false">
      <c r="A75" s="160" t="s">
        <v>72</v>
      </c>
      <c r="B75" s="161" t="n">
        <v>74</v>
      </c>
      <c r="C75" s="162" t="n">
        <v>2.5</v>
      </c>
      <c r="D75" s="163" t="n">
        <f aca="false">SUM(B75*C75)</f>
        <v>185</v>
      </c>
    </row>
    <row r="76" customFormat="false" ht="12.75" hidden="false" customHeight="false" outlineLevel="0" collapsed="false">
      <c r="A76" s="160" t="s">
        <v>73</v>
      </c>
      <c r="B76" s="161" t="n">
        <v>17</v>
      </c>
      <c r="C76" s="162" t="n">
        <v>2.5</v>
      </c>
      <c r="D76" s="163" t="n">
        <f aca="false">SUM(B76*C76)</f>
        <v>42.5</v>
      </c>
    </row>
    <row r="77" customFormat="false" ht="12.75" hidden="false" customHeight="false" outlineLevel="0" collapsed="false">
      <c r="A77" s="160" t="s">
        <v>74</v>
      </c>
      <c r="B77" s="161" t="n">
        <v>24</v>
      </c>
      <c r="C77" s="162" t="n">
        <v>2.5</v>
      </c>
      <c r="D77" s="163" t="n">
        <f aca="false">SUM(B77*C77)</f>
        <v>60</v>
      </c>
    </row>
    <row r="78" customFormat="false" ht="12.75" hidden="false" customHeight="false" outlineLevel="0" collapsed="false">
      <c r="A78" s="160" t="s">
        <v>75</v>
      </c>
      <c r="B78" s="161" t="n">
        <v>193</v>
      </c>
      <c r="C78" s="162" t="n">
        <v>2.5</v>
      </c>
      <c r="D78" s="163" t="n">
        <f aca="false">SUM(B78*C78)</f>
        <v>482.5</v>
      </c>
    </row>
    <row r="79" customFormat="false" ht="12.75" hidden="false" customHeight="false" outlineLevel="0" collapsed="false">
      <c r="A79" s="160" t="s">
        <v>76</v>
      </c>
      <c r="B79" s="161" t="n">
        <v>79</v>
      </c>
      <c r="C79" s="162" t="n">
        <v>2.5</v>
      </c>
      <c r="D79" s="163" t="n">
        <f aca="false">SUM(B79*C79)</f>
        <v>197.5</v>
      </c>
    </row>
    <row r="80" customFormat="false" ht="12.75" hidden="false" customHeight="false" outlineLevel="0" collapsed="false">
      <c r="A80" s="160" t="s">
        <v>77</v>
      </c>
      <c r="B80" s="161" t="n">
        <v>80</v>
      </c>
      <c r="C80" s="162" t="n">
        <v>2.5</v>
      </c>
      <c r="D80" s="163" t="n">
        <v>0</v>
      </c>
    </row>
  </sheetData>
  <mergeCells count="26">
    <mergeCell ref="A1:H3"/>
    <mergeCell ref="B9:B12"/>
    <mergeCell ref="C9:C12"/>
    <mergeCell ref="D9:D12"/>
    <mergeCell ref="B17:B20"/>
    <mergeCell ref="C17:C20"/>
    <mergeCell ref="D17:D20"/>
    <mergeCell ref="A18:A20"/>
    <mergeCell ref="B25:B28"/>
    <mergeCell ref="C25:C28"/>
    <mergeCell ref="D25:D28"/>
    <mergeCell ref="A26:A28"/>
    <mergeCell ref="B33:B36"/>
    <mergeCell ref="C33:C36"/>
    <mergeCell ref="D33:D36"/>
    <mergeCell ref="A34:A36"/>
    <mergeCell ref="B41:H44"/>
    <mergeCell ref="B48:B51"/>
    <mergeCell ref="C48:C51"/>
    <mergeCell ref="D48:D51"/>
    <mergeCell ref="A56:A58"/>
    <mergeCell ref="B56:B58"/>
    <mergeCell ref="C56:C58"/>
    <mergeCell ref="D56:D58"/>
    <mergeCell ref="E56:E58"/>
    <mergeCell ref="F56:F58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IW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:I12"/>
    </sheetView>
  </sheetViews>
  <sheetFormatPr defaultColWidth="9.28125" defaultRowHeight="12.75" customHeight="false" zeroHeight="false" outlineLevelRow="0" outlineLevelCol="0"/>
  <cols>
    <col collapsed="false" customWidth="true" hidden="false" outlineLevel="0" max="1" min="1" style="164" width="16.28"/>
    <col collapsed="false" customWidth="true" hidden="false" outlineLevel="0" max="2" min="2" style="164" width="11.7"/>
    <col collapsed="false" customWidth="true" hidden="false" outlineLevel="0" max="3" min="3" style="164" width="7.7"/>
    <col collapsed="false" customWidth="true" hidden="false" outlineLevel="0" max="4" min="4" style="164" width="10.71"/>
    <col collapsed="false" customWidth="true" hidden="false" outlineLevel="0" max="7" min="5" style="165" width="5.71"/>
    <col collapsed="false" customWidth="true" hidden="false" outlineLevel="0" max="8" min="8" style="164" width="14.99"/>
    <col collapsed="false" customWidth="true" hidden="false" outlineLevel="0" max="9" min="9" style="164" width="14.7"/>
    <col collapsed="false" customWidth="true" hidden="false" outlineLevel="0" max="10" min="10" style="164" width="1.99"/>
    <col collapsed="false" customWidth="false" hidden="false" outlineLevel="0" max="257" min="11" style="164" width="9.28"/>
  </cols>
  <sheetData>
    <row r="1" customFormat="false" ht="17.25" hidden="false" customHeight="true" outlineLevel="0" collapsed="false">
      <c r="A1" s="166" t="s">
        <v>78</v>
      </c>
      <c r="B1" s="166"/>
      <c r="C1" s="166"/>
      <c r="D1" s="166"/>
      <c r="E1" s="166"/>
      <c r="F1" s="166"/>
      <c r="G1" s="166"/>
      <c r="H1" s="166"/>
      <c r="I1" s="166"/>
      <c r="J1" s="167"/>
    </row>
    <row r="2" customFormat="false" ht="14.25" hidden="false" customHeight="true" outlineLevel="0" collapsed="false">
      <c r="A2" s="168" t="s">
        <v>79</v>
      </c>
      <c r="B2" s="168" t="s">
        <v>80</v>
      </c>
      <c r="C2" s="168" t="s">
        <v>81</v>
      </c>
      <c r="D2" s="168" t="s">
        <v>82</v>
      </c>
      <c r="E2" s="169" t="s">
        <v>83</v>
      </c>
      <c r="F2" s="169"/>
      <c r="G2" s="169"/>
      <c r="H2" s="170" t="s">
        <v>84</v>
      </c>
      <c r="I2" s="171" t="s">
        <v>85</v>
      </c>
      <c r="J2" s="167"/>
    </row>
    <row r="3" customFormat="false" ht="14.25" hidden="false" customHeight="true" outlineLevel="0" collapsed="false">
      <c r="A3" s="168"/>
      <c r="B3" s="168"/>
      <c r="C3" s="168"/>
      <c r="D3" s="168"/>
      <c r="E3" s="172" t="n">
        <v>1</v>
      </c>
      <c r="F3" s="172"/>
      <c r="G3" s="172"/>
      <c r="H3" s="173" t="n">
        <v>3</v>
      </c>
      <c r="I3" s="171"/>
      <c r="J3" s="167"/>
    </row>
    <row r="4" customFormat="false" ht="17.25" hidden="false" customHeight="true" outlineLevel="0" collapsed="false">
      <c r="A4" s="168"/>
      <c r="B4" s="168"/>
      <c r="C4" s="168"/>
      <c r="D4" s="168"/>
      <c r="E4" s="168" t="s">
        <v>86</v>
      </c>
      <c r="F4" s="168" t="s">
        <v>87</v>
      </c>
      <c r="G4" s="168" t="s">
        <v>88</v>
      </c>
      <c r="H4" s="170" t="s">
        <v>89</v>
      </c>
      <c r="I4" s="171"/>
      <c r="J4" s="167"/>
    </row>
    <row r="5" customFormat="false" ht="14.25" hidden="false" customHeight="true" outlineLevel="0" collapsed="false">
      <c r="A5" s="168"/>
      <c r="B5" s="168"/>
      <c r="C5" s="168"/>
      <c r="D5" s="168"/>
      <c r="E5" s="168"/>
      <c r="F5" s="168"/>
      <c r="G5" s="168"/>
      <c r="H5" s="174" t="n">
        <v>33</v>
      </c>
      <c r="I5" s="171"/>
      <c r="J5" s="167"/>
    </row>
    <row r="6" customFormat="false" ht="8.25" hidden="false" customHeight="true" outlineLevel="0" collapsed="false">
      <c r="A6" s="175" t="n">
        <v>0</v>
      </c>
      <c r="B6" s="175"/>
      <c r="C6" s="175"/>
      <c r="D6" s="175"/>
      <c r="E6" s="175"/>
      <c r="F6" s="175"/>
      <c r="G6" s="175"/>
      <c r="H6" s="175"/>
      <c r="I6" s="175"/>
      <c r="J6" s="167"/>
    </row>
    <row r="7" customFormat="false" ht="31.5" hidden="false" customHeight="true" outlineLevel="0" collapsed="false">
      <c r="A7" s="176" t="s">
        <v>90</v>
      </c>
      <c r="B7" s="177" t="n">
        <v>1200</v>
      </c>
      <c r="C7" s="178" t="n">
        <v>705</v>
      </c>
      <c r="D7" s="179" t="n">
        <f aca="false">E3</f>
        <v>1</v>
      </c>
      <c r="E7" s="180" t="n">
        <f aca="false">B7*C7*D7*8/1000000</f>
        <v>6.768</v>
      </c>
      <c r="F7" s="180" t="n">
        <f aca="false">(300*400*D7*8/1000000)*2</f>
        <v>1.92</v>
      </c>
      <c r="G7" s="180" t="n">
        <f aca="false">SUM(E7:F7)</f>
        <v>8.688</v>
      </c>
      <c r="H7" s="181" t="n">
        <f aca="false">G7*H5*H3</f>
        <v>860.112</v>
      </c>
      <c r="I7" s="182" t="n">
        <f aca="false">H7/B7*1000</f>
        <v>716.76</v>
      </c>
      <c r="J7" s="167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  <c r="BA7" s="183"/>
      <c r="BB7" s="183"/>
      <c r="BC7" s="183"/>
      <c r="BD7" s="183"/>
      <c r="BE7" s="183"/>
      <c r="BF7" s="183"/>
      <c r="BG7" s="183"/>
      <c r="BH7" s="183"/>
      <c r="BI7" s="183"/>
      <c r="BJ7" s="183"/>
      <c r="BK7" s="183"/>
      <c r="BL7" s="183"/>
      <c r="BM7" s="183"/>
      <c r="BN7" s="183"/>
      <c r="BO7" s="183"/>
      <c r="BP7" s="183"/>
      <c r="BQ7" s="183"/>
      <c r="BR7" s="183"/>
      <c r="BS7" s="183"/>
      <c r="BT7" s="183"/>
      <c r="BU7" s="183"/>
      <c r="BV7" s="183"/>
      <c r="BW7" s="183"/>
      <c r="BX7" s="183"/>
      <c r="BY7" s="183"/>
      <c r="BZ7" s="183"/>
      <c r="CA7" s="183"/>
      <c r="CB7" s="183"/>
      <c r="CC7" s="183"/>
      <c r="CD7" s="183"/>
      <c r="CE7" s="183"/>
      <c r="CF7" s="183"/>
      <c r="CG7" s="183"/>
      <c r="CH7" s="183"/>
      <c r="CI7" s="183"/>
      <c r="CJ7" s="183"/>
      <c r="CK7" s="183"/>
      <c r="CL7" s="183"/>
      <c r="CM7" s="183"/>
      <c r="CN7" s="183"/>
      <c r="CO7" s="183"/>
      <c r="CP7" s="183"/>
      <c r="CQ7" s="183"/>
      <c r="CR7" s="183"/>
      <c r="CS7" s="183"/>
      <c r="CT7" s="183"/>
      <c r="CU7" s="183"/>
      <c r="CV7" s="183"/>
      <c r="CW7" s="183"/>
      <c r="CX7" s="183"/>
      <c r="CY7" s="183"/>
      <c r="CZ7" s="183"/>
      <c r="DA7" s="183"/>
      <c r="DB7" s="183"/>
      <c r="DC7" s="183"/>
      <c r="DD7" s="183"/>
      <c r="DE7" s="183"/>
      <c r="DF7" s="183"/>
      <c r="DG7" s="183"/>
      <c r="DH7" s="183"/>
      <c r="DI7" s="183"/>
      <c r="DJ7" s="183"/>
      <c r="DK7" s="183"/>
      <c r="DL7" s="183"/>
      <c r="DM7" s="183"/>
      <c r="DN7" s="183"/>
      <c r="DO7" s="183"/>
      <c r="DP7" s="183"/>
      <c r="DQ7" s="183"/>
      <c r="DR7" s="183"/>
      <c r="DS7" s="183"/>
      <c r="DT7" s="183"/>
      <c r="DU7" s="183"/>
      <c r="DV7" s="183"/>
      <c r="DW7" s="183"/>
      <c r="DX7" s="183"/>
      <c r="DY7" s="183"/>
      <c r="DZ7" s="183"/>
      <c r="EA7" s="183"/>
      <c r="EB7" s="183"/>
      <c r="EC7" s="183"/>
      <c r="ED7" s="183"/>
      <c r="EE7" s="183"/>
      <c r="EF7" s="183"/>
      <c r="EG7" s="183"/>
      <c r="EH7" s="183"/>
      <c r="EI7" s="183"/>
      <c r="EJ7" s="183"/>
      <c r="EK7" s="183"/>
      <c r="EL7" s="183"/>
      <c r="EM7" s="183"/>
      <c r="EN7" s="183"/>
      <c r="EO7" s="183"/>
      <c r="EP7" s="183"/>
      <c r="EQ7" s="183"/>
      <c r="ER7" s="183"/>
      <c r="ES7" s="183"/>
      <c r="ET7" s="183"/>
      <c r="EU7" s="183"/>
      <c r="EV7" s="183"/>
      <c r="EW7" s="183"/>
      <c r="EX7" s="183"/>
      <c r="EY7" s="183"/>
      <c r="EZ7" s="183"/>
      <c r="FA7" s="183"/>
      <c r="FB7" s="183"/>
      <c r="FC7" s="183"/>
      <c r="FD7" s="183"/>
      <c r="FE7" s="183"/>
      <c r="FF7" s="183"/>
      <c r="FG7" s="183"/>
      <c r="FH7" s="183"/>
      <c r="FI7" s="183"/>
      <c r="FJ7" s="183"/>
      <c r="FK7" s="183"/>
      <c r="FL7" s="183"/>
      <c r="FM7" s="183"/>
      <c r="FN7" s="183"/>
      <c r="FO7" s="183"/>
      <c r="FP7" s="183"/>
      <c r="FQ7" s="183"/>
      <c r="FR7" s="183"/>
      <c r="FS7" s="183"/>
      <c r="FT7" s="183"/>
      <c r="FU7" s="183"/>
      <c r="FV7" s="183"/>
      <c r="FW7" s="183"/>
      <c r="FX7" s="183"/>
      <c r="FY7" s="183"/>
      <c r="FZ7" s="183"/>
      <c r="GA7" s="183"/>
      <c r="GB7" s="183"/>
      <c r="GC7" s="183"/>
      <c r="GD7" s="183"/>
      <c r="GE7" s="183"/>
      <c r="GF7" s="183"/>
      <c r="GG7" s="183"/>
      <c r="GH7" s="183"/>
      <c r="GI7" s="183"/>
      <c r="GJ7" s="183"/>
      <c r="GK7" s="183"/>
      <c r="GL7" s="183"/>
      <c r="GM7" s="183"/>
      <c r="GN7" s="183"/>
      <c r="GO7" s="183"/>
      <c r="GP7" s="183"/>
      <c r="GQ7" s="183"/>
      <c r="GR7" s="183"/>
      <c r="GS7" s="183"/>
      <c r="GT7" s="183"/>
      <c r="GU7" s="183"/>
      <c r="GV7" s="183"/>
      <c r="GW7" s="183"/>
      <c r="GX7" s="183"/>
      <c r="GY7" s="183"/>
      <c r="GZ7" s="183"/>
      <c r="HA7" s="183"/>
      <c r="HB7" s="183"/>
      <c r="HC7" s="183"/>
      <c r="HD7" s="183"/>
      <c r="HE7" s="183"/>
      <c r="HF7" s="183"/>
      <c r="HG7" s="183"/>
      <c r="HH7" s="183"/>
      <c r="HI7" s="183"/>
      <c r="HJ7" s="183"/>
      <c r="HK7" s="183"/>
      <c r="HL7" s="183"/>
      <c r="HM7" s="183"/>
      <c r="HN7" s="183"/>
      <c r="HO7" s="183"/>
      <c r="HP7" s="183"/>
      <c r="HQ7" s="183"/>
      <c r="HR7" s="183"/>
      <c r="HS7" s="183"/>
      <c r="HT7" s="183"/>
      <c r="HU7" s="183"/>
      <c r="HV7" s="183"/>
      <c r="HW7" s="183"/>
      <c r="HX7" s="183"/>
      <c r="HY7" s="183"/>
      <c r="HZ7" s="183"/>
      <c r="IA7" s="183"/>
      <c r="IB7" s="183"/>
      <c r="IC7" s="183"/>
      <c r="ID7" s="183"/>
      <c r="IE7" s="183"/>
      <c r="IF7" s="183"/>
      <c r="IG7" s="183"/>
      <c r="IH7" s="183"/>
      <c r="II7" s="183"/>
      <c r="IJ7" s="183"/>
      <c r="IK7" s="183"/>
      <c r="IL7" s="183"/>
      <c r="IM7" s="183"/>
      <c r="IN7" s="183"/>
      <c r="IO7" s="183"/>
      <c r="IP7" s="183"/>
      <c r="IQ7" s="183"/>
      <c r="IR7" s="183"/>
      <c r="IS7" s="183"/>
      <c r="IT7" s="183"/>
      <c r="IU7" s="183"/>
      <c r="IV7" s="183"/>
      <c r="IW7" s="183"/>
    </row>
    <row r="8" customFormat="false" ht="6.75" hidden="false" customHeight="true" outlineLevel="0" collapsed="false">
      <c r="A8" s="184"/>
      <c r="B8" s="184"/>
      <c r="C8" s="184"/>
      <c r="D8" s="184"/>
      <c r="E8" s="184"/>
      <c r="F8" s="184"/>
      <c r="G8" s="184"/>
      <c r="H8" s="184"/>
      <c r="I8" s="184"/>
      <c r="J8" s="167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3"/>
      <c r="BJ8" s="183"/>
      <c r="BK8" s="183"/>
      <c r="BL8" s="183"/>
      <c r="BM8" s="183"/>
      <c r="BN8" s="183"/>
      <c r="BO8" s="183"/>
      <c r="BP8" s="183"/>
      <c r="BQ8" s="183"/>
      <c r="BR8" s="183"/>
      <c r="BS8" s="183"/>
      <c r="BT8" s="183"/>
      <c r="BU8" s="183"/>
      <c r="BV8" s="183"/>
      <c r="BW8" s="183"/>
      <c r="BX8" s="183"/>
      <c r="BY8" s="183"/>
      <c r="BZ8" s="183"/>
      <c r="CA8" s="183"/>
      <c r="CB8" s="183"/>
      <c r="CC8" s="183"/>
      <c r="CD8" s="183"/>
      <c r="CE8" s="183"/>
      <c r="CF8" s="183"/>
      <c r="CG8" s="183"/>
      <c r="CH8" s="183"/>
      <c r="CI8" s="183"/>
      <c r="CJ8" s="183"/>
      <c r="CK8" s="183"/>
      <c r="CL8" s="183"/>
      <c r="CM8" s="183"/>
      <c r="CN8" s="183"/>
      <c r="CO8" s="183"/>
      <c r="CP8" s="183"/>
      <c r="CQ8" s="183"/>
      <c r="CR8" s="183"/>
      <c r="CS8" s="183"/>
      <c r="CT8" s="183"/>
      <c r="CU8" s="183"/>
      <c r="CV8" s="183"/>
      <c r="CW8" s="183"/>
      <c r="CX8" s="183"/>
      <c r="CY8" s="183"/>
      <c r="CZ8" s="183"/>
      <c r="DA8" s="183"/>
      <c r="DB8" s="183"/>
      <c r="DC8" s="183"/>
      <c r="DD8" s="183"/>
      <c r="DE8" s="183"/>
      <c r="DF8" s="183"/>
      <c r="DG8" s="183"/>
      <c r="DH8" s="183"/>
      <c r="DI8" s="183"/>
      <c r="DJ8" s="183"/>
      <c r="DK8" s="183"/>
      <c r="DL8" s="183"/>
      <c r="DM8" s="183"/>
      <c r="DN8" s="183"/>
      <c r="DO8" s="183"/>
      <c r="DP8" s="183"/>
      <c r="DQ8" s="183"/>
      <c r="DR8" s="183"/>
      <c r="DS8" s="183"/>
      <c r="DT8" s="183"/>
      <c r="DU8" s="183"/>
      <c r="DV8" s="183"/>
      <c r="DW8" s="183"/>
      <c r="DX8" s="183"/>
      <c r="DY8" s="183"/>
      <c r="DZ8" s="183"/>
      <c r="EA8" s="183"/>
      <c r="EB8" s="183"/>
      <c r="EC8" s="183"/>
      <c r="ED8" s="183"/>
      <c r="EE8" s="183"/>
      <c r="EF8" s="183"/>
      <c r="EG8" s="183"/>
      <c r="EH8" s="183"/>
      <c r="EI8" s="183"/>
      <c r="EJ8" s="183"/>
      <c r="EK8" s="183"/>
      <c r="EL8" s="183"/>
      <c r="EM8" s="183"/>
      <c r="EN8" s="183"/>
      <c r="EO8" s="183"/>
      <c r="EP8" s="183"/>
      <c r="EQ8" s="183"/>
      <c r="ER8" s="183"/>
      <c r="ES8" s="183"/>
      <c r="ET8" s="183"/>
      <c r="EU8" s="183"/>
      <c r="EV8" s="183"/>
      <c r="EW8" s="183"/>
      <c r="EX8" s="183"/>
      <c r="EY8" s="183"/>
      <c r="EZ8" s="183"/>
      <c r="FA8" s="183"/>
      <c r="FB8" s="183"/>
      <c r="FC8" s="183"/>
      <c r="FD8" s="183"/>
      <c r="FE8" s="183"/>
      <c r="FF8" s="183"/>
      <c r="FG8" s="183"/>
      <c r="FH8" s="183"/>
      <c r="FI8" s="183"/>
      <c r="FJ8" s="183"/>
      <c r="FK8" s="183"/>
      <c r="FL8" s="183"/>
      <c r="FM8" s="183"/>
      <c r="FN8" s="183"/>
      <c r="FO8" s="183"/>
      <c r="FP8" s="183"/>
      <c r="FQ8" s="183"/>
      <c r="FR8" s="183"/>
      <c r="FS8" s="183"/>
      <c r="FT8" s="183"/>
      <c r="FU8" s="183"/>
      <c r="FV8" s="183"/>
      <c r="FW8" s="183"/>
      <c r="FX8" s="183"/>
      <c r="FY8" s="183"/>
      <c r="FZ8" s="183"/>
      <c r="GA8" s="183"/>
      <c r="GB8" s="183"/>
      <c r="GC8" s="183"/>
      <c r="GD8" s="183"/>
      <c r="GE8" s="183"/>
      <c r="GF8" s="183"/>
      <c r="GG8" s="183"/>
      <c r="GH8" s="183"/>
      <c r="GI8" s="183"/>
      <c r="GJ8" s="183"/>
      <c r="GK8" s="183"/>
      <c r="GL8" s="183"/>
      <c r="GM8" s="183"/>
      <c r="GN8" s="183"/>
      <c r="GO8" s="183"/>
      <c r="GP8" s="183"/>
      <c r="GQ8" s="183"/>
      <c r="GR8" s="183"/>
      <c r="GS8" s="183"/>
      <c r="GT8" s="183"/>
      <c r="GU8" s="183"/>
      <c r="GV8" s="183"/>
      <c r="GW8" s="183"/>
      <c r="GX8" s="183"/>
      <c r="GY8" s="183"/>
      <c r="GZ8" s="183"/>
      <c r="HA8" s="183"/>
      <c r="HB8" s="183"/>
      <c r="HC8" s="183"/>
      <c r="HD8" s="183"/>
      <c r="HE8" s="183"/>
      <c r="HF8" s="183"/>
      <c r="HG8" s="183"/>
      <c r="HH8" s="183"/>
      <c r="HI8" s="183"/>
      <c r="HJ8" s="183"/>
      <c r="HK8" s="183"/>
      <c r="HL8" s="183"/>
      <c r="HM8" s="183"/>
      <c r="HN8" s="183"/>
      <c r="HO8" s="183"/>
      <c r="HP8" s="183"/>
      <c r="HQ8" s="183"/>
      <c r="HR8" s="183"/>
      <c r="HS8" s="183"/>
      <c r="HT8" s="183"/>
      <c r="HU8" s="183"/>
      <c r="HV8" s="183"/>
      <c r="HW8" s="183"/>
      <c r="HX8" s="183"/>
      <c r="HY8" s="183"/>
      <c r="HZ8" s="183"/>
      <c r="IA8" s="183"/>
      <c r="IB8" s="183"/>
      <c r="IC8" s="183"/>
      <c r="ID8" s="183"/>
      <c r="IE8" s="183"/>
      <c r="IF8" s="183"/>
      <c r="IG8" s="183"/>
      <c r="IH8" s="183"/>
      <c r="II8" s="183"/>
      <c r="IJ8" s="183"/>
      <c r="IK8" s="183"/>
      <c r="IL8" s="183"/>
      <c r="IM8" s="183"/>
      <c r="IN8" s="183"/>
      <c r="IO8" s="183"/>
      <c r="IP8" s="183"/>
      <c r="IQ8" s="183"/>
      <c r="IR8" s="183"/>
      <c r="IS8" s="183"/>
      <c r="IT8" s="183"/>
      <c r="IU8" s="183"/>
      <c r="IV8" s="183"/>
      <c r="IW8" s="183"/>
    </row>
    <row r="9" customFormat="false" ht="31.5" hidden="false" customHeight="true" outlineLevel="0" collapsed="false">
      <c r="A9" s="185" t="s">
        <v>91</v>
      </c>
      <c r="B9" s="186" t="n">
        <v>1200</v>
      </c>
      <c r="C9" s="187" t="n">
        <v>1000</v>
      </c>
      <c r="D9" s="188" t="n">
        <f aca="false">E3</f>
        <v>1</v>
      </c>
      <c r="E9" s="189" t="n">
        <f aca="false">B9*C9*D9*8/1000000</f>
        <v>9.6</v>
      </c>
      <c r="F9" s="189" t="n">
        <f aca="false">(500*400*D9*8/1000000)*2</f>
        <v>3.2</v>
      </c>
      <c r="G9" s="189" t="n">
        <f aca="false">SUM(E9:F9)</f>
        <v>12.8</v>
      </c>
      <c r="H9" s="190" t="n">
        <f aca="false">G9*H5*H3</f>
        <v>1267.2</v>
      </c>
      <c r="I9" s="191" t="n">
        <f aca="false">H9/B9*1000</f>
        <v>1056</v>
      </c>
      <c r="J9" s="167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  <c r="BC9" s="183"/>
      <c r="BD9" s="183"/>
      <c r="BE9" s="183"/>
      <c r="BF9" s="183"/>
      <c r="BG9" s="183"/>
      <c r="BH9" s="183"/>
      <c r="BI9" s="183"/>
      <c r="BJ9" s="183"/>
      <c r="BK9" s="183"/>
      <c r="BL9" s="183"/>
      <c r="BM9" s="183"/>
      <c r="BN9" s="183"/>
      <c r="BO9" s="183"/>
      <c r="BP9" s="183"/>
      <c r="BQ9" s="183"/>
      <c r="BR9" s="183"/>
      <c r="BS9" s="183"/>
      <c r="BT9" s="183"/>
      <c r="BU9" s="183"/>
      <c r="BV9" s="183"/>
      <c r="BW9" s="183"/>
      <c r="BX9" s="183"/>
      <c r="BY9" s="183"/>
      <c r="BZ9" s="183"/>
      <c r="CA9" s="183"/>
      <c r="CB9" s="183"/>
      <c r="CC9" s="183"/>
      <c r="CD9" s="183"/>
      <c r="CE9" s="183"/>
      <c r="CF9" s="183"/>
      <c r="CG9" s="183"/>
      <c r="CH9" s="183"/>
      <c r="CI9" s="183"/>
      <c r="CJ9" s="183"/>
      <c r="CK9" s="183"/>
      <c r="CL9" s="183"/>
      <c r="CM9" s="183"/>
      <c r="CN9" s="183"/>
      <c r="CO9" s="183"/>
      <c r="CP9" s="183"/>
      <c r="CQ9" s="183"/>
      <c r="CR9" s="183"/>
      <c r="CS9" s="183"/>
      <c r="CT9" s="183"/>
      <c r="CU9" s="183"/>
      <c r="CV9" s="183"/>
      <c r="CW9" s="183"/>
      <c r="CX9" s="183"/>
      <c r="CY9" s="183"/>
      <c r="CZ9" s="183"/>
      <c r="DA9" s="183"/>
      <c r="DB9" s="183"/>
      <c r="DC9" s="183"/>
      <c r="DD9" s="183"/>
      <c r="DE9" s="183"/>
      <c r="DF9" s="183"/>
      <c r="DG9" s="183"/>
      <c r="DH9" s="183"/>
      <c r="DI9" s="183"/>
      <c r="DJ9" s="183"/>
      <c r="DK9" s="183"/>
      <c r="DL9" s="183"/>
      <c r="DM9" s="183"/>
      <c r="DN9" s="183"/>
      <c r="DO9" s="183"/>
      <c r="DP9" s="183"/>
      <c r="DQ9" s="183"/>
      <c r="DR9" s="183"/>
      <c r="DS9" s="183"/>
      <c r="DT9" s="183"/>
      <c r="DU9" s="183"/>
      <c r="DV9" s="183"/>
      <c r="DW9" s="183"/>
      <c r="DX9" s="183"/>
      <c r="DY9" s="183"/>
      <c r="DZ9" s="183"/>
      <c r="EA9" s="183"/>
      <c r="EB9" s="183"/>
      <c r="EC9" s="183"/>
      <c r="ED9" s="183"/>
      <c r="EE9" s="183"/>
      <c r="EF9" s="183"/>
      <c r="EG9" s="183"/>
      <c r="EH9" s="183"/>
      <c r="EI9" s="183"/>
      <c r="EJ9" s="183"/>
      <c r="EK9" s="183"/>
      <c r="EL9" s="183"/>
      <c r="EM9" s="183"/>
      <c r="EN9" s="183"/>
      <c r="EO9" s="183"/>
      <c r="EP9" s="183"/>
      <c r="EQ9" s="183"/>
      <c r="ER9" s="183"/>
      <c r="ES9" s="183"/>
      <c r="ET9" s="183"/>
      <c r="EU9" s="183"/>
      <c r="EV9" s="183"/>
      <c r="EW9" s="183"/>
      <c r="EX9" s="183"/>
      <c r="EY9" s="183"/>
      <c r="EZ9" s="183"/>
      <c r="FA9" s="183"/>
      <c r="FB9" s="183"/>
      <c r="FC9" s="183"/>
      <c r="FD9" s="183"/>
      <c r="FE9" s="183"/>
      <c r="FF9" s="183"/>
      <c r="FG9" s="183"/>
      <c r="FH9" s="183"/>
      <c r="FI9" s="183"/>
      <c r="FJ9" s="183"/>
      <c r="FK9" s="183"/>
      <c r="FL9" s="183"/>
      <c r="FM9" s="183"/>
      <c r="FN9" s="183"/>
      <c r="FO9" s="183"/>
      <c r="FP9" s="183"/>
      <c r="FQ9" s="183"/>
      <c r="FR9" s="183"/>
      <c r="FS9" s="183"/>
      <c r="FT9" s="183"/>
      <c r="FU9" s="183"/>
      <c r="FV9" s="183"/>
      <c r="FW9" s="183"/>
      <c r="FX9" s="183"/>
      <c r="FY9" s="183"/>
      <c r="FZ9" s="183"/>
      <c r="GA9" s="183"/>
      <c r="GB9" s="183"/>
      <c r="GC9" s="183"/>
      <c r="GD9" s="183"/>
      <c r="GE9" s="183"/>
      <c r="GF9" s="183"/>
      <c r="GG9" s="183"/>
      <c r="GH9" s="183"/>
      <c r="GI9" s="183"/>
      <c r="GJ9" s="183"/>
      <c r="GK9" s="183"/>
      <c r="GL9" s="183"/>
      <c r="GM9" s="183"/>
      <c r="GN9" s="183"/>
      <c r="GO9" s="183"/>
      <c r="GP9" s="183"/>
      <c r="GQ9" s="183"/>
      <c r="GR9" s="183"/>
      <c r="GS9" s="183"/>
      <c r="GT9" s="183"/>
      <c r="GU9" s="183"/>
      <c r="GV9" s="183"/>
      <c r="GW9" s="183"/>
      <c r="GX9" s="183"/>
      <c r="GY9" s="183"/>
      <c r="GZ9" s="183"/>
      <c r="HA9" s="183"/>
      <c r="HB9" s="183"/>
      <c r="HC9" s="183"/>
      <c r="HD9" s="183"/>
      <c r="HE9" s="183"/>
      <c r="HF9" s="183"/>
      <c r="HG9" s="183"/>
      <c r="HH9" s="183"/>
      <c r="HI9" s="183"/>
      <c r="HJ9" s="183"/>
      <c r="HK9" s="183"/>
      <c r="HL9" s="183"/>
      <c r="HM9" s="183"/>
      <c r="HN9" s="183"/>
      <c r="HO9" s="183"/>
      <c r="HP9" s="183"/>
      <c r="HQ9" s="183"/>
      <c r="HR9" s="183"/>
      <c r="HS9" s="183"/>
      <c r="HT9" s="183"/>
      <c r="HU9" s="183"/>
      <c r="HV9" s="183"/>
      <c r="HW9" s="183"/>
      <c r="HX9" s="183"/>
      <c r="HY9" s="183"/>
      <c r="HZ9" s="183"/>
      <c r="IA9" s="183"/>
      <c r="IB9" s="183"/>
      <c r="IC9" s="183"/>
      <c r="ID9" s="183"/>
      <c r="IE9" s="183"/>
      <c r="IF9" s="183"/>
      <c r="IG9" s="183"/>
      <c r="IH9" s="183"/>
      <c r="II9" s="183"/>
      <c r="IJ9" s="183"/>
      <c r="IK9" s="183"/>
      <c r="IL9" s="183"/>
      <c r="IM9" s="183"/>
      <c r="IN9" s="183"/>
      <c r="IO9" s="183"/>
      <c r="IP9" s="183"/>
      <c r="IQ9" s="183"/>
      <c r="IR9" s="183"/>
      <c r="IS9" s="183"/>
      <c r="IT9" s="183"/>
      <c r="IU9" s="183"/>
      <c r="IV9" s="183"/>
      <c r="IW9" s="183"/>
    </row>
    <row r="10" customFormat="false" ht="6.75" hidden="false" customHeight="true" outlineLevel="0" collapsed="false">
      <c r="A10" s="184"/>
      <c r="B10" s="184"/>
      <c r="C10" s="184"/>
      <c r="D10" s="184"/>
      <c r="E10" s="184"/>
      <c r="F10" s="184"/>
      <c r="G10" s="184"/>
      <c r="H10" s="184"/>
      <c r="I10" s="184"/>
      <c r="J10" s="167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  <c r="BC10" s="183"/>
      <c r="BD10" s="183"/>
      <c r="BE10" s="183"/>
      <c r="BF10" s="183"/>
      <c r="BG10" s="183"/>
      <c r="BH10" s="183"/>
      <c r="BI10" s="183"/>
      <c r="BJ10" s="183"/>
      <c r="BK10" s="183"/>
      <c r="BL10" s="183"/>
      <c r="BM10" s="183"/>
      <c r="BN10" s="183"/>
      <c r="BO10" s="183"/>
      <c r="BP10" s="183"/>
      <c r="BQ10" s="183"/>
      <c r="BR10" s="183"/>
      <c r="BS10" s="183"/>
      <c r="BT10" s="183"/>
      <c r="BU10" s="183"/>
      <c r="BV10" s="183"/>
      <c r="BW10" s="183"/>
      <c r="BX10" s="183"/>
      <c r="BY10" s="183"/>
      <c r="BZ10" s="183"/>
      <c r="CA10" s="183"/>
      <c r="CB10" s="183"/>
      <c r="CC10" s="183"/>
      <c r="CD10" s="183"/>
      <c r="CE10" s="183"/>
      <c r="CF10" s="183"/>
      <c r="CG10" s="183"/>
      <c r="CH10" s="183"/>
      <c r="CI10" s="183"/>
      <c r="CJ10" s="183"/>
      <c r="CK10" s="183"/>
      <c r="CL10" s="183"/>
      <c r="CM10" s="183"/>
      <c r="CN10" s="183"/>
      <c r="CO10" s="183"/>
      <c r="CP10" s="183"/>
      <c r="CQ10" s="183"/>
      <c r="CR10" s="183"/>
      <c r="CS10" s="183"/>
      <c r="CT10" s="183"/>
      <c r="CU10" s="183"/>
      <c r="CV10" s="183"/>
      <c r="CW10" s="183"/>
      <c r="CX10" s="183"/>
      <c r="CY10" s="183"/>
      <c r="CZ10" s="183"/>
      <c r="DA10" s="183"/>
      <c r="DB10" s="183"/>
      <c r="DC10" s="183"/>
      <c r="DD10" s="183"/>
      <c r="DE10" s="183"/>
      <c r="DF10" s="183"/>
      <c r="DG10" s="183"/>
      <c r="DH10" s="183"/>
      <c r="DI10" s="183"/>
      <c r="DJ10" s="183"/>
      <c r="DK10" s="183"/>
      <c r="DL10" s="183"/>
      <c r="DM10" s="183"/>
      <c r="DN10" s="183"/>
      <c r="DO10" s="183"/>
      <c r="DP10" s="183"/>
      <c r="DQ10" s="183"/>
      <c r="DR10" s="183"/>
      <c r="DS10" s="183"/>
      <c r="DT10" s="183"/>
      <c r="DU10" s="183"/>
      <c r="DV10" s="183"/>
      <c r="DW10" s="183"/>
      <c r="DX10" s="183"/>
      <c r="DY10" s="183"/>
      <c r="DZ10" s="183"/>
      <c r="EA10" s="183"/>
      <c r="EB10" s="183"/>
      <c r="EC10" s="183"/>
      <c r="ED10" s="183"/>
      <c r="EE10" s="183"/>
      <c r="EF10" s="183"/>
      <c r="EG10" s="183"/>
      <c r="EH10" s="183"/>
      <c r="EI10" s="183"/>
      <c r="EJ10" s="183"/>
      <c r="EK10" s="183"/>
      <c r="EL10" s="183"/>
      <c r="EM10" s="183"/>
      <c r="EN10" s="183"/>
      <c r="EO10" s="183"/>
      <c r="EP10" s="183"/>
      <c r="EQ10" s="183"/>
      <c r="ER10" s="183"/>
      <c r="ES10" s="183"/>
      <c r="ET10" s="183"/>
      <c r="EU10" s="183"/>
      <c r="EV10" s="183"/>
      <c r="EW10" s="183"/>
      <c r="EX10" s="183"/>
      <c r="EY10" s="183"/>
      <c r="EZ10" s="183"/>
      <c r="FA10" s="183"/>
      <c r="FB10" s="183"/>
      <c r="FC10" s="183"/>
      <c r="FD10" s="183"/>
      <c r="FE10" s="183"/>
      <c r="FF10" s="183"/>
      <c r="FG10" s="183"/>
      <c r="FH10" s="183"/>
      <c r="FI10" s="183"/>
      <c r="FJ10" s="183"/>
      <c r="FK10" s="183"/>
      <c r="FL10" s="183"/>
      <c r="FM10" s="183"/>
      <c r="FN10" s="183"/>
      <c r="FO10" s="183"/>
      <c r="FP10" s="183"/>
      <c r="FQ10" s="183"/>
      <c r="FR10" s="183"/>
      <c r="FS10" s="183"/>
      <c r="FT10" s="183"/>
      <c r="FU10" s="183"/>
      <c r="FV10" s="183"/>
      <c r="FW10" s="183"/>
      <c r="FX10" s="183"/>
      <c r="FY10" s="183"/>
      <c r="FZ10" s="183"/>
      <c r="GA10" s="183"/>
      <c r="GB10" s="183"/>
      <c r="GC10" s="183"/>
      <c r="GD10" s="183"/>
      <c r="GE10" s="183"/>
      <c r="GF10" s="183"/>
      <c r="GG10" s="183"/>
      <c r="GH10" s="183"/>
      <c r="GI10" s="183"/>
      <c r="GJ10" s="183"/>
      <c r="GK10" s="183"/>
      <c r="GL10" s="183"/>
      <c r="GM10" s="183"/>
      <c r="GN10" s="183"/>
      <c r="GO10" s="183"/>
      <c r="GP10" s="183"/>
      <c r="GQ10" s="183"/>
      <c r="GR10" s="183"/>
      <c r="GS10" s="183"/>
      <c r="GT10" s="183"/>
      <c r="GU10" s="183"/>
      <c r="GV10" s="183"/>
      <c r="GW10" s="183"/>
      <c r="GX10" s="183"/>
      <c r="GY10" s="183"/>
      <c r="GZ10" s="183"/>
      <c r="HA10" s="183"/>
      <c r="HB10" s="183"/>
      <c r="HC10" s="183"/>
      <c r="HD10" s="183"/>
      <c r="HE10" s="183"/>
      <c r="HF10" s="183"/>
      <c r="HG10" s="183"/>
      <c r="HH10" s="183"/>
      <c r="HI10" s="183"/>
      <c r="HJ10" s="183"/>
      <c r="HK10" s="183"/>
      <c r="HL10" s="183"/>
      <c r="HM10" s="183"/>
      <c r="HN10" s="183"/>
      <c r="HO10" s="183"/>
      <c r="HP10" s="183"/>
      <c r="HQ10" s="183"/>
      <c r="HR10" s="183"/>
      <c r="HS10" s="183"/>
      <c r="HT10" s="183"/>
      <c r="HU10" s="183"/>
      <c r="HV10" s="183"/>
      <c r="HW10" s="183"/>
      <c r="HX10" s="183"/>
      <c r="HY10" s="183"/>
      <c r="HZ10" s="183"/>
      <c r="IA10" s="183"/>
      <c r="IB10" s="183"/>
      <c r="IC10" s="183"/>
      <c r="ID10" s="183"/>
      <c r="IE10" s="183"/>
      <c r="IF10" s="183"/>
      <c r="IG10" s="183"/>
      <c r="IH10" s="183"/>
      <c r="II10" s="183"/>
      <c r="IJ10" s="183"/>
      <c r="IK10" s="183"/>
      <c r="IL10" s="183"/>
      <c r="IM10" s="183"/>
      <c r="IN10" s="183"/>
      <c r="IO10" s="183"/>
      <c r="IP10" s="183"/>
      <c r="IQ10" s="183"/>
      <c r="IR10" s="183"/>
      <c r="IS10" s="183"/>
      <c r="IT10" s="183"/>
      <c r="IU10" s="183"/>
      <c r="IV10" s="183"/>
      <c r="IW10" s="183"/>
    </row>
    <row r="11" customFormat="false" ht="31.5" hidden="false" customHeight="true" outlineLevel="0" collapsed="false">
      <c r="A11" s="192" t="s">
        <v>92</v>
      </c>
      <c r="B11" s="193" t="n">
        <v>1200</v>
      </c>
      <c r="C11" s="194" t="n">
        <v>705</v>
      </c>
      <c r="D11" s="195" t="n">
        <f aca="false">E3</f>
        <v>1</v>
      </c>
      <c r="E11" s="196" t="n">
        <f aca="false">B11*C11*D11*8/1000000</f>
        <v>6.768</v>
      </c>
      <c r="F11" s="196" t="n">
        <f aca="false">(380*330*D11*8/1000000)*2</f>
        <v>2.0064</v>
      </c>
      <c r="G11" s="196" t="n">
        <f aca="false">SUM(E11:F11)</f>
        <v>8.7744</v>
      </c>
      <c r="H11" s="197" t="n">
        <f aca="false">G11*H5*H3</f>
        <v>868.6656</v>
      </c>
      <c r="I11" s="198" t="n">
        <f aca="false">H11/B11*1000</f>
        <v>723.888</v>
      </c>
      <c r="J11" s="167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  <c r="BA11" s="183"/>
      <c r="BB11" s="183"/>
      <c r="BC11" s="183"/>
      <c r="BD11" s="183"/>
      <c r="BE11" s="183"/>
      <c r="BF11" s="183"/>
      <c r="BG11" s="183"/>
      <c r="BH11" s="183"/>
      <c r="BI11" s="183"/>
      <c r="BJ11" s="183"/>
      <c r="BK11" s="183"/>
      <c r="BL11" s="183"/>
      <c r="BM11" s="183"/>
      <c r="BN11" s="183"/>
      <c r="BO11" s="183"/>
      <c r="BP11" s="183"/>
      <c r="BQ11" s="183"/>
      <c r="BR11" s="183"/>
      <c r="BS11" s="183"/>
      <c r="BT11" s="183"/>
      <c r="BU11" s="183"/>
      <c r="BV11" s="183"/>
      <c r="BW11" s="183"/>
      <c r="BX11" s="183"/>
      <c r="BY11" s="183"/>
      <c r="BZ11" s="183"/>
      <c r="CA11" s="183"/>
      <c r="CB11" s="183"/>
      <c r="CC11" s="183"/>
      <c r="CD11" s="183"/>
      <c r="CE11" s="183"/>
      <c r="CF11" s="183"/>
      <c r="CG11" s="183"/>
      <c r="CH11" s="183"/>
      <c r="CI11" s="183"/>
      <c r="CJ11" s="183"/>
      <c r="CK11" s="183"/>
      <c r="CL11" s="183"/>
      <c r="CM11" s="183"/>
      <c r="CN11" s="183"/>
      <c r="CO11" s="183"/>
      <c r="CP11" s="183"/>
      <c r="CQ11" s="183"/>
      <c r="CR11" s="183"/>
      <c r="CS11" s="183"/>
      <c r="CT11" s="183"/>
      <c r="CU11" s="183"/>
      <c r="CV11" s="183"/>
      <c r="CW11" s="183"/>
      <c r="CX11" s="183"/>
      <c r="CY11" s="183"/>
      <c r="CZ11" s="183"/>
      <c r="DA11" s="183"/>
      <c r="DB11" s="183"/>
      <c r="DC11" s="183"/>
      <c r="DD11" s="183"/>
      <c r="DE11" s="183"/>
      <c r="DF11" s="183"/>
      <c r="DG11" s="183"/>
      <c r="DH11" s="183"/>
      <c r="DI11" s="183"/>
      <c r="DJ11" s="183"/>
      <c r="DK11" s="183"/>
      <c r="DL11" s="183"/>
      <c r="DM11" s="183"/>
      <c r="DN11" s="183"/>
      <c r="DO11" s="183"/>
      <c r="DP11" s="183"/>
      <c r="DQ11" s="183"/>
      <c r="DR11" s="183"/>
      <c r="DS11" s="183"/>
      <c r="DT11" s="183"/>
      <c r="DU11" s="183"/>
      <c r="DV11" s="183"/>
      <c r="DW11" s="183"/>
      <c r="DX11" s="183"/>
      <c r="DY11" s="183"/>
      <c r="DZ11" s="183"/>
      <c r="EA11" s="183"/>
      <c r="EB11" s="183"/>
      <c r="EC11" s="183"/>
      <c r="ED11" s="183"/>
      <c r="EE11" s="183"/>
      <c r="EF11" s="183"/>
      <c r="EG11" s="183"/>
      <c r="EH11" s="183"/>
      <c r="EI11" s="183"/>
      <c r="EJ11" s="183"/>
      <c r="EK11" s="183"/>
      <c r="EL11" s="183"/>
      <c r="EM11" s="183"/>
      <c r="EN11" s="183"/>
      <c r="EO11" s="183"/>
      <c r="EP11" s="183"/>
      <c r="EQ11" s="183"/>
      <c r="ER11" s="183"/>
      <c r="ES11" s="183"/>
      <c r="ET11" s="183"/>
      <c r="EU11" s="183"/>
      <c r="EV11" s="183"/>
      <c r="EW11" s="183"/>
      <c r="EX11" s="183"/>
      <c r="EY11" s="183"/>
      <c r="EZ11" s="183"/>
      <c r="FA11" s="183"/>
      <c r="FB11" s="183"/>
      <c r="FC11" s="183"/>
      <c r="FD11" s="183"/>
      <c r="FE11" s="183"/>
      <c r="FF11" s="183"/>
      <c r="FG11" s="183"/>
      <c r="FH11" s="183"/>
      <c r="FI11" s="183"/>
      <c r="FJ11" s="183"/>
      <c r="FK11" s="183"/>
      <c r="FL11" s="183"/>
      <c r="FM11" s="183"/>
      <c r="FN11" s="183"/>
      <c r="FO11" s="183"/>
      <c r="FP11" s="183"/>
      <c r="FQ11" s="183"/>
      <c r="FR11" s="183"/>
      <c r="FS11" s="183"/>
      <c r="FT11" s="183"/>
      <c r="FU11" s="183"/>
      <c r="FV11" s="183"/>
      <c r="FW11" s="183"/>
      <c r="FX11" s="183"/>
      <c r="FY11" s="183"/>
      <c r="FZ11" s="183"/>
      <c r="GA11" s="183"/>
      <c r="GB11" s="183"/>
      <c r="GC11" s="183"/>
      <c r="GD11" s="183"/>
      <c r="GE11" s="183"/>
      <c r="GF11" s="183"/>
      <c r="GG11" s="183"/>
      <c r="GH11" s="183"/>
      <c r="GI11" s="183"/>
      <c r="GJ11" s="183"/>
      <c r="GK11" s="183"/>
      <c r="GL11" s="183"/>
      <c r="GM11" s="183"/>
      <c r="GN11" s="183"/>
      <c r="GO11" s="183"/>
      <c r="GP11" s="183"/>
      <c r="GQ11" s="183"/>
      <c r="GR11" s="183"/>
      <c r="GS11" s="183"/>
      <c r="GT11" s="183"/>
      <c r="GU11" s="183"/>
      <c r="GV11" s="183"/>
      <c r="GW11" s="183"/>
      <c r="GX11" s="183"/>
      <c r="GY11" s="183"/>
      <c r="GZ11" s="183"/>
      <c r="HA11" s="183"/>
      <c r="HB11" s="183"/>
      <c r="HC11" s="183"/>
      <c r="HD11" s="183"/>
      <c r="HE11" s="183"/>
      <c r="HF11" s="183"/>
      <c r="HG11" s="183"/>
      <c r="HH11" s="183"/>
      <c r="HI11" s="183"/>
      <c r="HJ11" s="183"/>
      <c r="HK11" s="183"/>
      <c r="HL11" s="183"/>
      <c r="HM11" s="183"/>
      <c r="HN11" s="183"/>
      <c r="HO11" s="183"/>
      <c r="HP11" s="183"/>
      <c r="HQ11" s="183"/>
      <c r="HR11" s="183"/>
      <c r="HS11" s="183"/>
      <c r="HT11" s="183"/>
      <c r="HU11" s="183"/>
      <c r="HV11" s="183"/>
      <c r="HW11" s="183"/>
      <c r="HX11" s="183"/>
      <c r="HY11" s="183"/>
      <c r="HZ11" s="183"/>
      <c r="IA11" s="183"/>
      <c r="IB11" s="183"/>
      <c r="IC11" s="183"/>
      <c r="ID11" s="183"/>
      <c r="IE11" s="183"/>
      <c r="IF11" s="183"/>
      <c r="IG11" s="183"/>
      <c r="IH11" s="183"/>
      <c r="II11" s="183"/>
      <c r="IJ11" s="183"/>
      <c r="IK11" s="183"/>
      <c r="IL11" s="183"/>
      <c r="IM11" s="183"/>
      <c r="IN11" s="183"/>
      <c r="IO11" s="183"/>
      <c r="IP11" s="183"/>
      <c r="IQ11" s="183"/>
      <c r="IR11" s="183"/>
      <c r="IS11" s="183"/>
      <c r="IT11" s="183"/>
      <c r="IU11" s="183"/>
      <c r="IV11" s="183"/>
      <c r="IW11" s="183"/>
    </row>
    <row r="12" customFormat="false" ht="6.75" hidden="false" customHeight="true" outlineLevel="0" collapsed="false">
      <c r="A12" s="184"/>
      <c r="B12" s="184"/>
      <c r="C12" s="184"/>
      <c r="D12" s="184"/>
      <c r="E12" s="184"/>
      <c r="F12" s="184"/>
      <c r="G12" s="184"/>
      <c r="H12" s="184"/>
      <c r="I12" s="184"/>
      <c r="J12" s="167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  <c r="BA12" s="183"/>
      <c r="BB12" s="183"/>
      <c r="BC12" s="183"/>
      <c r="BD12" s="183"/>
      <c r="BE12" s="183"/>
      <c r="BF12" s="183"/>
      <c r="BG12" s="183"/>
      <c r="BH12" s="183"/>
      <c r="BI12" s="183"/>
      <c r="BJ12" s="183"/>
      <c r="BK12" s="183"/>
      <c r="BL12" s="183"/>
      <c r="BM12" s="183"/>
      <c r="BN12" s="183"/>
      <c r="BO12" s="183"/>
      <c r="BP12" s="183"/>
      <c r="BQ12" s="183"/>
      <c r="BR12" s="183"/>
      <c r="BS12" s="183"/>
      <c r="BT12" s="183"/>
      <c r="BU12" s="183"/>
      <c r="BV12" s="183"/>
      <c r="BW12" s="183"/>
      <c r="BX12" s="183"/>
      <c r="BY12" s="183"/>
      <c r="BZ12" s="183"/>
      <c r="CA12" s="183"/>
      <c r="CB12" s="183"/>
      <c r="CC12" s="183"/>
      <c r="CD12" s="183"/>
      <c r="CE12" s="183"/>
      <c r="CF12" s="183"/>
      <c r="CG12" s="183"/>
      <c r="CH12" s="183"/>
      <c r="CI12" s="183"/>
      <c r="CJ12" s="183"/>
      <c r="CK12" s="183"/>
      <c r="CL12" s="183"/>
      <c r="CM12" s="183"/>
      <c r="CN12" s="183"/>
      <c r="CO12" s="183"/>
      <c r="CP12" s="183"/>
      <c r="CQ12" s="183"/>
      <c r="CR12" s="183"/>
      <c r="CS12" s="183"/>
      <c r="CT12" s="183"/>
      <c r="CU12" s="183"/>
      <c r="CV12" s="183"/>
      <c r="CW12" s="183"/>
      <c r="CX12" s="183"/>
      <c r="CY12" s="183"/>
      <c r="CZ12" s="183"/>
      <c r="DA12" s="183"/>
      <c r="DB12" s="183"/>
      <c r="DC12" s="183"/>
      <c r="DD12" s="183"/>
      <c r="DE12" s="183"/>
      <c r="DF12" s="183"/>
      <c r="DG12" s="183"/>
      <c r="DH12" s="183"/>
      <c r="DI12" s="183"/>
      <c r="DJ12" s="183"/>
      <c r="DK12" s="183"/>
      <c r="DL12" s="183"/>
      <c r="DM12" s="183"/>
      <c r="DN12" s="183"/>
      <c r="DO12" s="183"/>
      <c r="DP12" s="183"/>
      <c r="DQ12" s="183"/>
      <c r="DR12" s="183"/>
      <c r="DS12" s="183"/>
      <c r="DT12" s="183"/>
      <c r="DU12" s="183"/>
      <c r="DV12" s="183"/>
      <c r="DW12" s="183"/>
      <c r="DX12" s="183"/>
      <c r="DY12" s="183"/>
      <c r="DZ12" s="183"/>
      <c r="EA12" s="183"/>
      <c r="EB12" s="183"/>
      <c r="EC12" s="183"/>
      <c r="ED12" s="183"/>
      <c r="EE12" s="183"/>
      <c r="EF12" s="183"/>
      <c r="EG12" s="183"/>
      <c r="EH12" s="183"/>
      <c r="EI12" s="183"/>
      <c r="EJ12" s="183"/>
      <c r="EK12" s="183"/>
      <c r="EL12" s="183"/>
      <c r="EM12" s="183"/>
      <c r="EN12" s="183"/>
      <c r="EO12" s="183"/>
      <c r="EP12" s="183"/>
      <c r="EQ12" s="183"/>
      <c r="ER12" s="183"/>
      <c r="ES12" s="183"/>
      <c r="ET12" s="183"/>
      <c r="EU12" s="183"/>
      <c r="EV12" s="183"/>
      <c r="EW12" s="183"/>
      <c r="EX12" s="183"/>
      <c r="EY12" s="183"/>
      <c r="EZ12" s="183"/>
      <c r="FA12" s="183"/>
      <c r="FB12" s="183"/>
      <c r="FC12" s="183"/>
      <c r="FD12" s="183"/>
      <c r="FE12" s="183"/>
      <c r="FF12" s="183"/>
      <c r="FG12" s="183"/>
      <c r="FH12" s="183"/>
      <c r="FI12" s="183"/>
      <c r="FJ12" s="183"/>
      <c r="FK12" s="183"/>
      <c r="FL12" s="183"/>
      <c r="FM12" s="183"/>
      <c r="FN12" s="183"/>
      <c r="FO12" s="183"/>
      <c r="FP12" s="183"/>
      <c r="FQ12" s="183"/>
      <c r="FR12" s="183"/>
      <c r="FS12" s="183"/>
      <c r="FT12" s="183"/>
      <c r="FU12" s="183"/>
      <c r="FV12" s="183"/>
      <c r="FW12" s="183"/>
      <c r="FX12" s="183"/>
      <c r="FY12" s="183"/>
      <c r="FZ12" s="183"/>
      <c r="GA12" s="183"/>
      <c r="GB12" s="183"/>
      <c r="GC12" s="183"/>
      <c r="GD12" s="183"/>
      <c r="GE12" s="183"/>
      <c r="GF12" s="183"/>
      <c r="GG12" s="183"/>
      <c r="GH12" s="183"/>
      <c r="GI12" s="183"/>
      <c r="GJ12" s="183"/>
      <c r="GK12" s="183"/>
      <c r="GL12" s="183"/>
      <c r="GM12" s="183"/>
      <c r="GN12" s="183"/>
      <c r="GO12" s="183"/>
      <c r="GP12" s="183"/>
      <c r="GQ12" s="183"/>
      <c r="GR12" s="183"/>
      <c r="GS12" s="183"/>
      <c r="GT12" s="183"/>
      <c r="GU12" s="183"/>
      <c r="GV12" s="183"/>
      <c r="GW12" s="183"/>
      <c r="GX12" s="183"/>
      <c r="GY12" s="183"/>
      <c r="GZ12" s="183"/>
      <c r="HA12" s="183"/>
      <c r="HB12" s="183"/>
      <c r="HC12" s="183"/>
      <c r="HD12" s="183"/>
      <c r="HE12" s="183"/>
      <c r="HF12" s="183"/>
      <c r="HG12" s="183"/>
      <c r="HH12" s="183"/>
      <c r="HI12" s="183"/>
      <c r="HJ12" s="183"/>
      <c r="HK12" s="183"/>
      <c r="HL12" s="183"/>
      <c r="HM12" s="183"/>
      <c r="HN12" s="183"/>
      <c r="HO12" s="183"/>
      <c r="HP12" s="183"/>
      <c r="HQ12" s="183"/>
      <c r="HR12" s="183"/>
      <c r="HS12" s="183"/>
      <c r="HT12" s="183"/>
      <c r="HU12" s="183"/>
      <c r="HV12" s="183"/>
      <c r="HW12" s="183"/>
      <c r="HX12" s="183"/>
      <c r="HY12" s="183"/>
      <c r="HZ12" s="183"/>
      <c r="IA12" s="183"/>
      <c r="IB12" s="183"/>
      <c r="IC12" s="183"/>
      <c r="ID12" s="183"/>
      <c r="IE12" s="183"/>
      <c r="IF12" s="183"/>
      <c r="IG12" s="183"/>
      <c r="IH12" s="183"/>
      <c r="II12" s="183"/>
      <c r="IJ12" s="183"/>
      <c r="IK12" s="183"/>
      <c r="IL12" s="183"/>
      <c r="IM12" s="183"/>
      <c r="IN12" s="183"/>
      <c r="IO12" s="183"/>
      <c r="IP12" s="183"/>
      <c r="IQ12" s="183"/>
      <c r="IR12" s="183"/>
      <c r="IS12" s="183"/>
      <c r="IT12" s="183"/>
      <c r="IU12" s="183"/>
      <c r="IV12" s="183"/>
      <c r="IW12" s="183"/>
    </row>
    <row r="13" customFormat="false" ht="31.5" hidden="false" customHeight="true" outlineLevel="0" collapsed="false">
      <c r="A13" s="199" t="s">
        <v>93</v>
      </c>
      <c r="B13" s="200" t="n">
        <v>500</v>
      </c>
      <c r="C13" s="201" t="n">
        <v>1000</v>
      </c>
      <c r="D13" s="202" t="n">
        <f aca="false">E3</f>
        <v>1</v>
      </c>
      <c r="E13" s="203" t="n">
        <f aca="false">B13*C13*D13*8/1000000</f>
        <v>4</v>
      </c>
      <c r="F13" s="203" t="n">
        <f aca="false">(600*300*D13*8/1000000)*2</f>
        <v>2.88</v>
      </c>
      <c r="G13" s="203" t="n">
        <f aca="false">SUM(E13:F13)</f>
        <v>6.88</v>
      </c>
      <c r="H13" s="204" t="n">
        <f aca="false">G13*H5*H3</f>
        <v>681.12</v>
      </c>
      <c r="I13" s="205" t="n">
        <f aca="false">H13/B13*1000</f>
        <v>1362.24</v>
      </c>
      <c r="J13" s="167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  <c r="BA13" s="183"/>
      <c r="BB13" s="183"/>
      <c r="BC13" s="183"/>
      <c r="BD13" s="183"/>
      <c r="BE13" s="183"/>
      <c r="BF13" s="183"/>
      <c r="BG13" s="183"/>
      <c r="BH13" s="183"/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3"/>
      <c r="BT13" s="183"/>
      <c r="BU13" s="183"/>
      <c r="BV13" s="183"/>
      <c r="BW13" s="183"/>
      <c r="BX13" s="183"/>
      <c r="BY13" s="183"/>
      <c r="BZ13" s="183"/>
      <c r="CA13" s="183"/>
      <c r="CB13" s="183"/>
      <c r="CC13" s="183"/>
      <c r="CD13" s="183"/>
      <c r="CE13" s="183"/>
      <c r="CF13" s="183"/>
      <c r="CG13" s="183"/>
      <c r="CH13" s="183"/>
      <c r="CI13" s="183"/>
      <c r="CJ13" s="183"/>
      <c r="CK13" s="183"/>
      <c r="CL13" s="183"/>
      <c r="CM13" s="183"/>
      <c r="CN13" s="183"/>
      <c r="CO13" s="183"/>
      <c r="CP13" s="183"/>
      <c r="CQ13" s="183"/>
      <c r="CR13" s="183"/>
      <c r="CS13" s="183"/>
      <c r="CT13" s="183"/>
      <c r="CU13" s="183"/>
      <c r="CV13" s="183"/>
      <c r="CW13" s="183"/>
      <c r="CX13" s="183"/>
      <c r="CY13" s="183"/>
      <c r="CZ13" s="183"/>
      <c r="DA13" s="183"/>
      <c r="DB13" s="183"/>
      <c r="DC13" s="183"/>
      <c r="DD13" s="183"/>
      <c r="DE13" s="183"/>
      <c r="DF13" s="183"/>
      <c r="DG13" s="183"/>
      <c r="DH13" s="183"/>
      <c r="DI13" s="183"/>
      <c r="DJ13" s="183"/>
      <c r="DK13" s="183"/>
      <c r="DL13" s="183"/>
      <c r="DM13" s="183"/>
      <c r="DN13" s="183"/>
      <c r="DO13" s="183"/>
      <c r="DP13" s="183"/>
      <c r="DQ13" s="183"/>
      <c r="DR13" s="183"/>
      <c r="DS13" s="183"/>
      <c r="DT13" s="183"/>
      <c r="DU13" s="183"/>
      <c r="DV13" s="183"/>
      <c r="DW13" s="183"/>
      <c r="DX13" s="183"/>
      <c r="DY13" s="183"/>
      <c r="DZ13" s="183"/>
      <c r="EA13" s="183"/>
      <c r="EB13" s="183"/>
      <c r="EC13" s="183"/>
      <c r="ED13" s="183"/>
      <c r="EE13" s="183"/>
      <c r="EF13" s="183"/>
      <c r="EG13" s="183"/>
      <c r="EH13" s="183"/>
      <c r="EI13" s="183"/>
      <c r="EJ13" s="183"/>
      <c r="EK13" s="183"/>
      <c r="EL13" s="183"/>
      <c r="EM13" s="183"/>
      <c r="EN13" s="183"/>
      <c r="EO13" s="183"/>
      <c r="EP13" s="183"/>
      <c r="EQ13" s="183"/>
      <c r="ER13" s="183"/>
      <c r="ES13" s="183"/>
      <c r="ET13" s="183"/>
      <c r="EU13" s="183"/>
      <c r="EV13" s="183"/>
      <c r="EW13" s="183"/>
      <c r="EX13" s="183"/>
      <c r="EY13" s="183"/>
      <c r="EZ13" s="183"/>
      <c r="FA13" s="183"/>
      <c r="FB13" s="183"/>
      <c r="FC13" s="183"/>
      <c r="FD13" s="183"/>
      <c r="FE13" s="183"/>
      <c r="FF13" s="183"/>
      <c r="FG13" s="183"/>
      <c r="FH13" s="183"/>
      <c r="FI13" s="183"/>
      <c r="FJ13" s="183"/>
      <c r="FK13" s="183"/>
      <c r="FL13" s="183"/>
      <c r="FM13" s="183"/>
      <c r="FN13" s="183"/>
      <c r="FO13" s="183"/>
      <c r="FP13" s="183"/>
      <c r="FQ13" s="183"/>
      <c r="FR13" s="183"/>
      <c r="FS13" s="183"/>
      <c r="FT13" s="183"/>
      <c r="FU13" s="183"/>
      <c r="FV13" s="183"/>
      <c r="FW13" s="183"/>
      <c r="FX13" s="183"/>
      <c r="FY13" s="183"/>
      <c r="FZ13" s="183"/>
      <c r="GA13" s="183"/>
      <c r="GB13" s="183"/>
      <c r="GC13" s="183"/>
      <c r="GD13" s="183"/>
      <c r="GE13" s="183"/>
      <c r="GF13" s="183"/>
      <c r="GG13" s="183"/>
      <c r="GH13" s="183"/>
      <c r="GI13" s="183"/>
      <c r="GJ13" s="183"/>
      <c r="GK13" s="183"/>
      <c r="GL13" s="183"/>
      <c r="GM13" s="183"/>
      <c r="GN13" s="183"/>
      <c r="GO13" s="183"/>
      <c r="GP13" s="183"/>
      <c r="GQ13" s="183"/>
      <c r="GR13" s="183"/>
      <c r="GS13" s="183"/>
      <c r="GT13" s="183"/>
      <c r="GU13" s="183"/>
      <c r="GV13" s="183"/>
      <c r="GW13" s="183"/>
      <c r="GX13" s="183"/>
      <c r="GY13" s="183"/>
      <c r="GZ13" s="183"/>
      <c r="HA13" s="183"/>
      <c r="HB13" s="183"/>
      <c r="HC13" s="183"/>
      <c r="HD13" s="183"/>
      <c r="HE13" s="183"/>
      <c r="HF13" s="183"/>
      <c r="HG13" s="183"/>
      <c r="HH13" s="183"/>
      <c r="HI13" s="183"/>
      <c r="HJ13" s="183"/>
      <c r="HK13" s="183"/>
      <c r="HL13" s="183"/>
      <c r="HM13" s="183"/>
      <c r="HN13" s="183"/>
      <c r="HO13" s="183"/>
      <c r="HP13" s="183"/>
      <c r="HQ13" s="183"/>
      <c r="HR13" s="183"/>
      <c r="HS13" s="183"/>
      <c r="HT13" s="183"/>
      <c r="HU13" s="183"/>
      <c r="HV13" s="183"/>
      <c r="HW13" s="183"/>
      <c r="HX13" s="183"/>
      <c r="HY13" s="183"/>
      <c r="HZ13" s="183"/>
      <c r="IA13" s="183"/>
      <c r="IB13" s="183"/>
      <c r="IC13" s="183"/>
      <c r="ID13" s="183"/>
      <c r="IE13" s="183"/>
      <c r="IF13" s="183"/>
      <c r="IG13" s="183"/>
      <c r="IH13" s="183"/>
      <c r="II13" s="183"/>
      <c r="IJ13" s="183"/>
      <c r="IK13" s="183"/>
      <c r="IL13" s="183"/>
      <c r="IM13" s="183"/>
      <c r="IN13" s="183"/>
      <c r="IO13" s="183"/>
      <c r="IP13" s="183"/>
      <c r="IQ13" s="183"/>
      <c r="IR13" s="183"/>
      <c r="IS13" s="183"/>
      <c r="IT13" s="183"/>
      <c r="IU13" s="183"/>
      <c r="IV13" s="183"/>
      <c r="IW13" s="183"/>
    </row>
    <row r="14" customFormat="false" ht="6.75" hidden="false" customHeight="true" outlineLevel="0" collapsed="false">
      <c r="A14" s="184"/>
      <c r="B14" s="184"/>
      <c r="C14" s="184"/>
      <c r="D14" s="184"/>
      <c r="E14" s="184"/>
      <c r="F14" s="184"/>
      <c r="G14" s="184"/>
      <c r="H14" s="184"/>
      <c r="I14" s="184"/>
      <c r="J14" s="167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  <c r="BX14" s="183"/>
      <c r="BY14" s="183"/>
      <c r="BZ14" s="183"/>
      <c r="CA14" s="183"/>
      <c r="CB14" s="183"/>
      <c r="CC14" s="183"/>
      <c r="CD14" s="183"/>
      <c r="CE14" s="183"/>
      <c r="CF14" s="183"/>
      <c r="CG14" s="183"/>
      <c r="CH14" s="183"/>
      <c r="CI14" s="183"/>
      <c r="CJ14" s="183"/>
      <c r="CK14" s="183"/>
      <c r="CL14" s="183"/>
      <c r="CM14" s="183"/>
      <c r="CN14" s="183"/>
      <c r="CO14" s="183"/>
      <c r="CP14" s="183"/>
      <c r="CQ14" s="183"/>
      <c r="CR14" s="183"/>
      <c r="CS14" s="183"/>
      <c r="CT14" s="183"/>
      <c r="CU14" s="183"/>
      <c r="CV14" s="183"/>
      <c r="CW14" s="183"/>
      <c r="CX14" s="183"/>
      <c r="CY14" s="183"/>
      <c r="CZ14" s="183"/>
      <c r="DA14" s="183"/>
      <c r="DB14" s="183"/>
      <c r="DC14" s="183"/>
      <c r="DD14" s="183"/>
      <c r="DE14" s="183"/>
      <c r="DF14" s="183"/>
      <c r="DG14" s="183"/>
      <c r="DH14" s="183"/>
      <c r="DI14" s="183"/>
      <c r="DJ14" s="183"/>
      <c r="DK14" s="183"/>
      <c r="DL14" s="183"/>
      <c r="DM14" s="183"/>
      <c r="DN14" s="183"/>
      <c r="DO14" s="183"/>
      <c r="DP14" s="183"/>
      <c r="DQ14" s="183"/>
      <c r="DR14" s="183"/>
      <c r="DS14" s="183"/>
      <c r="DT14" s="183"/>
      <c r="DU14" s="183"/>
      <c r="DV14" s="183"/>
      <c r="DW14" s="183"/>
      <c r="DX14" s="183"/>
      <c r="DY14" s="183"/>
      <c r="DZ14" s="183"/>
      <c r="EA14" s="183"/>
      <c r="EB14" s="183"/>
      <c r="EC14" s="183"/>
      <c r="ED14" s="183"/>
      <c r="EE14" s="183"/>
      <c r="EF14" s="183"/>
      <c r="EG14" s="183"/>
      <c r="EH14" s="183"/>
      <c r="EI14" s="183"/>
      <c r="EJ14" s="183"/>
      <c r="EK14" s="183"/>
      <c r="EL14" s="183"/>
      <c r="EM14" s="183"/>
      <c r="EN14" s="183"/>
      <c r="EO14" s="183"/>
      <c r="EP14" s="183"/>
      <c r="EQ14" s="183"/>
      <c r="ER14" s="183"/>
      <c r="ES14" s="183"/>
      <c r="ET14" s="183"/>
      <c r="EU14" s="183"/>
      <c r="EV14" s="183"/>
      <c r="EW14" s="183"/>
      <c r="EX14" s="183"/>
      <c r="EY14" s="183"/>
      <c r="EZ14" s="183"/>
      <c r="FA14" s="183"/>
      <c r="FB14" s="183"/>
      <c r="FC14" s="183"/>
      <c r="FD14" s="183"/>
      <c r="FE14" s="183"/>
      <c r="FF14" s="183"/>
      <c r="FG14" s="183"/>
      <c r="FH14" s="183"/>
      <c r="FI14" s="183"/>
      <c r="FJ14" s="183"/>
      <c r="FK14" s="183"/>
      <c r="FL14" s="183"/>
      <c r="FM14" s="183"/>
      <c r="FN14" s="183"/>
      <c r="FO14" s="183"/>
      <c r="FP14" s="183"/>
      <c r="FQ14" s="183"/>
      <c r="FR14" s="183"/>
      <c r="FS14" s="183"/>
      <c r="FT14" s="183"/>
      <c r="FU14" s="183"/>
      <c r="FV14" s="183"/>
      <c r="FW14" s="183"/>
      <c r="FX14" s="183"/>
      <c r="FY14" s="183"/>
      <c r="FZ14" s="183"/>
      <c r="GA14" s="183"/>
      <c r="GB14" s="183"/>
      <c r="GC14" s="183"/>
      <c r="GD14" s="183"/>
      <c r="GE14" s="183"/>
      <c r="GF14" s="183"/>
      <c r="GG14" s="183"/>
      <c r="GH14" s="183"/>
      <c r="GI14" s="183"/>
      <c r="GJ14" s="183"/>
      <c r="GK14" s="183"/>
      <c r="GL14" s="183"/>
      <c r="GM14" s="183"/>
      <c r="GN14" s="183"/>
      <c r="GO14" s="183"/>
      <c r="GP14" s="183"/>
      <c r="GQ14" s="183"/>
      <c r="GR14" s="183"/>
      <c r="GS14" s="183"/>
      <c r="GT14" s="183"/>
      <c r="GU14" s="183"/>
      <c r="GV14" s="183"/>
      <c r="GW14" s="183"/>
      <c r="GX14" s="183"/>
      <c r="GY14" s="183"/>
      <c r="GZ14" s="183"/>
      <c r="HA14" s="183"/>
      <c r="HB14" s="183"/>
      <c r="HC14" s="183"/>
      <c r="HD14" s="183"/>
      <c r="HE14" s="183"/>
      <c r="HF14" s="183"/>
      <c r="HG14" s="183"/>
      <c r="HH14" s="183"/>
      <c r="HI14" s="183"/>
      <c r="HJ14" s="183"/>
      <c r="HK14" s="183"/>
      <c r="HL14" s="183"/>
      <c r="HM14" s="183"/>
      <c r="HN14" s="183"/>
      <c r="HO14" s="183"/>
      <c r="HP14" s="183"/>
      <c r="HQ14" s="183"/>
      <c r="HR14" s="183"/>
      <c r="HS14" s="183"/>
      <c r="HT14" s="183"/>
      <c r="HU14" s="183"/>
      <c r="HV14" s="183"/>
      <c r="HW14" s="183"/>
      <c r="HX14" s="183"/>
      <c r="HY14" s="183"/>
      <c r="HZ14" s="183"/>
      <c r="IA14" s="183"/>
      <c r="IB14" s="183"/>
      <c r="IC14" s="183"/>
      <c r="ID14" s="183"/>
      <c r="IE14" s="183"/>
      <c r="IF14" s="183"/>
      <c r="IG14" s="183"/>
      <c r="IH14" s="183"/>
      <c r="II14" s="183"/>
      <c r="IJ14" s="183"/>
      <c r="IK14" s="183"/>
      <c r="IL14" s="183"/>
      <c r="IM14" s="183"/>
      <c r="IN14" s="183"/>
      <c r="IO14" s="183"/>
      <c r="IP14" s="183"/>
      <c r="IQ14" s="183"/>
      <c r="IR14" s="183"/>
      <c r="IS14" s="183"/>
      <c r="IT14" s="183"/>
      <c r="IU14" s="183"/>
      <c r="IV14" s="183"/>
      <c r="IW14" s="183"/>
    </row>
    <row r="15" customFormat="false" ht="31.5" hidden="false" customHeight="true" outlineLevel="0" collapsed="false">
      <c r="A15" s="206" t="s">
        <v>94</v>
      </c>
      <c r="B15" s="207" t="n">
        <v>1200</v>
      </c>
      <c r="C15" s="208" t="n">
        <v>1200</v>
      </c>
      <c r="D15" s="209" t="n">
        <f aca="false">E3</f>
        <v>1</v>
      </c>
      <c r="E15" s="210" t="n">
        <f aca="false">B15*C15*D15*8/1000000</f>
        <v>11.52</v>
      </c>
      <c r="F15" s="210" t="n">
        <f aca="false">5.3*D15</f>
        <v>5.3</v>
      </c>
      <c r="G15" s="210" t="n">
        <f aca="false">SUM(E15:F15)</f>
        <v>16.82</v>
      </c>
      <c r="H15" s="211" t="n">
        <v>11111</v>
      </c>
      <c r="I15" s="212" t="n">
        <f aca="false">H15/B15*1000</f>
        <v>9259.16666666667</v>
      </c>
      <c r="J15" s="167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  <c r="BA15" s="183"/>
      <c r="BB15" s="183"/>
      <c r="BC15" s="183"/>
      <c r="BD15" s="183"/>
      <c r="BE15" s="183"/>
      <c r="BF15" s="183"/>
      <c r="BG15" s="183"/>
      <c r="BH15" s="183"/>
      <c r="BI15" s="183"/>
      <c r="BJ15" s="183"/>
      <c r="BK15" s="183"/>
      <c r="BL15" s="183"/>
      <c r="BM15" s="183"/>
      <c r="BN15" s="183"/>
      <c r="BO15" s="183"/>
      <c r="BP15" s="183"/>
      <c r="BQ15" s="183"/>
      <c r="BR15" s="183"/>
      <c r="BS15" s="183"/>
      <c r="BT15" s="183"/>
      <c r="BU15" s="183"/>
      <c r="BV15" s="183"/>
      <c r="BW15" s="183"/>
      <c r="BX15" s="183"/>
      <c r="BY15" s="183"/>
      <c r="BZ15" s="183"/>
      <c r="CA15" s="183"/>
      <c r="CB15" s="183"/>
      <c r="CC15" s="183"/>
      <c r="CD15" s="183"/>
      <c r="CE15" s="183"/>
      <c r="CF15" s="183"/>
      <c r="CG15" s="183"/>
      <c r="CH15" s="183"/>
      <c r="CI15" s="183"/>
      <c r="CJ15" s="183"/>
      <c r="CK15" s="183"/>
      <c r="CL15" s="183"/>
      <c r="CM15" s="183"/>
      <c r="CN15" s="183"/>
      <c r="CO15" s="183"/>
      <c r="CP15" s="183"/>
      <c r="CQ15" s="183"/>
      <c r="CR15" s="183"/>
      <c r="CS15" s="183"/>
      <c r="CT15" s="183"/>
      <c r="CU15" s="183"/>
      <c r="CV15" s="183"/>
      <c r="CW15" s="183"/>
      <c r="CX15" s="183"/>
      <c r="CY15" s="183"/>
      <c r="CZ15" s="183"/>
      <c r="DA15" s="183"/>
      <c r="DB15" s="183"/>
      <c r="DC15" s="183"/>
      <c r="DD15" s="183"/>
      <c r="DE15" s="183"/>
      <c r="DF15" s="183"/>
      <c r="DG15" s="183"/>
      <c r="DH15" s="183"/>
      <c r="DI15" s="183"/>
      <c r="DJ15" s="183"/>
      <c r="DK15" s="183"/>
      <c r="DL15" s="183"/>
      <c r="DM15" s="183"/>
      <c r="DN15" s="183"/>
      <c r="DO15" s="183"/>
      <c r="DP15" s="183"/>
      <c r="DQ15" s="183"/>
      <c r="DR15" s="183"/>
      <c r="DS15" s="183"/>
      <c r="DT15" s="183"/>
      <c r="DU15" s="183"/>
      <c r="DV15" s="183"/>
      <c r="DW15" s="183"/>
      <c r="DX15" s="183"/>
      <c r="DY15" s="183"/>
      <c r="DZ15" s="183"/>
      <c r="EA15" s="183"/>
      <c r="EB15" s="183"/>
      <c r="EC15" s="183"/>
      <c r="ED15" s="183"/>
      <c r="EE15" s="183"/>
      <c r="EF15" s="183"/>
      <c r="EG15" s="183"/>
      <c r="EH15" s="183"/>
      <c r="EI15" s="183"/>
      <c r="EJ15" s="183"/>
      <c r="EK15" s="183"/>
      <c r="EL15" s="183"/>
      <c r="EM15" s="183"/>
      <c r="EN15" s="183"/>
      <c r="EO15" s="183"/>
      <c r="EP15" s="183"/>
      <c r="EQ15" s="183"/>
      <c r="ER15" s="183"/>
      <c r="ES15" s="183"/>
      <c r="ET15" s="183"/>
      <c r="EU15" s="183"/>
      <c r="EV15" s="183"/>
      <c r="EW15" s="183"/>
      <c r="EX15" s="183"/>
      <c r="EY15" s="183"/>
      <c r="EZ15" s="183"/>
      <c r="FA15" s="183"/>
      <c r="FB15" s="183"/>
      <c r="FC15" s="183"/>
      <c r="FD15" s="183"/>
      <c r="FE15" s="183"/>
      <c r="FF15" s="183"/>
      <c r="FG15" s="183"/>
      <c r="FH15" s="183"/>
      <c r="FI15" s="183"/>
      <c r="FJ15" s="183"/>
      <c r="FK15" s="183"/>
      <c r="FL15" s="183"/>
      <c r="FM15" s="183"/>
      <c r="FN15" s="183"/>
      <c r="FO15" s="183"/>
      <c r="FP15" s="183"/>
      <c r="FQ15" s="183"/>
      <c r="FR15" s="183"/>
      <c r="FS15" s="183"/>
      <c r="FT15" s="183"/>
      <c r="FU15" s="183"/>
      <c r="FV15" s="183"/>
      <c r="FW15" s="183"/>
      <c r="FX15" s="183"/>
      <c r="FY15" s="183"/>
      <c r="FZ15" s="183"/>
      <c r="GA15" s="183"/>
      <c r="GB15" s="183"/>
      <c r="GC15" s="183"/>
      <c r="GD15" s="183"/>
      <c r="GE15" s="183"/>
      <c r="GF15" s="183"/>
      <c r="GG15" s="183"/>
      <c r="GH15" s="183"/>
      <c r="GI15" s="183"/>
      <c r="GJ15" s="183"/>
      <c r="GK15" s="183"/>
      <c r="GL15" s="183"/>
      <c r="GM15" s="183"/>
      <c r="GN15" s="183"/>
      <c r="GO15" s="183"/>
      <c r="GP15" s="183"/>
      <c r="GQ15" s="183"/>
      <c r="GR15" s="183"/>
      <c r="GS15" s="183"/>
      <c r="GT15" s="183"/>
      <c r="GU15" s="183"/>
      <c r="GV15" s="183"/>
      <c r="GW15" s="183"/>
      <c r="GX15" s="183"/>
      <c r="GY15" s="183"/>
      <c r="GZ15" s="183"/>
      <c r="HA15" s="183"/>
      <c r="HB15" s="183"/>
      <c r="HC15" s="183"/>
      <c r="HD15" s="183"/>
      <c r="HE15" s="183"/>
      <c r="HF15" s="183"/>
      <c r="HG15" s="183"/>
      <c r="HH15" s="183"/>
      <c r="HI15" s="183"/>
      <c r="HJ15" s="183"/>
      <c r="HK15" s="183"/>
      <c r="HL15" s="183"/>
      <c r="HM15" s="183"/>
      <c r="HN15" s="183"/>
      <c r="HO15" s="183"/>
      <c r="HP15" s="183"/>
      <c r="HQ15" s="183"/>
      <c r="HR15" s="183"/>
      <c r="HS15" s="183"/>
      <c r="HT15" s="183"/>
      <c r="HU15" s="183"/>
      <c r="HV15" s="183"/>
      <c r="HW15" s="183"/>
      <c r="HX15" s="183"/>
      <c r="HY15" s="183"/>
      <c r="HZ15" s="183"/>
      <c r="IA15" s="183"/>
      <c r="IB15" s="183"/>
      <c r="IC15" s="183"/>
      <c r="ID15" s="183"/>
      <c r="IE15" s="183"/>
      <c r="IF15" s="183"/>
      <c r="IG15" s="183"/>
      <c r="IH15" s="183"/>
      <c r="II15" s="183"/>
      <c r="IJ15" s="183"/>
      <c r="IK15" s="183"/>
      <c r="IL15" s="183"/>
      <c r="IM15" s="183"/>
      <c r="IN15" s="183"/>
      <c r="IO15" s="183"/>
      <c r="IP15" s="183"/>
      <c r="IQ15" s="183"/>
      <c r="IR15" s="183"/>
      <c r="IS15" s="183"/>
      <c r="IT15" s="183"/>
      <c r="IU15" s="183"/>
      <c r="IV15" s="183"/>
      <c r="IW15" s="183"/>
    </row>
    <row r="16" customFormat="false" ht="6.75" hidden="false" customHeight="true" outlineLevel="0" collapsed="false">
      <c r="A16" s="213"/>
      <c r="B16" s="213"/>
      <c r="C16" s="213"/>
      <c r="D16" s="213"/>
      <c r="E16" s="213"/>
      <c r="F16" s="213"/>
      <c r="G16" s="213"/>
      <c r="H16" s="213"/>
      <c r="I16" s="213"/>
      <c r="J16" s="167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3"/>
      <c r="BI16" s="183"/>
      <c r="BJ16" s="183"/>
      <c r="BK16" s="183"/>
      <c r="BL16" s="183"/>
      <c r="BM16" s="183"/>
      <c r="BN16" s="183"/>
      <c r="BO16" s="183"/>
      <c r="BP16" s="183"/>
      <c r="BQ16" s="183"/>
      <c r="BR16" s="183"/>
      <c r="BS16" s="183"/>
      <c r="BT16" s="183"/>
      <c r="BU16" s="183"/>
      <c r="BV16" s="183"/>
      <c r="BW16" s="183"/>
      <c r="BX16" s="183"/>
      <c r="BY16" s="183"/>
      <c r="BZ16" s="183"/>
      <c r="CA16" s="183"/>
      <c r="CB16" s="183"/>
      <c r="CC16" s="183"/>
      <c r="CD16" s="183"/>
      <c r="CE16" s="183"/>
      <c r="CF16" s="183"/>
      <c r="CG16" s="183"/>
      <c r="CH16" s="183"/>
      <c r="CI16" s="183"/>
      <c r="CJ16" s="183"/>
      <c r="CK16" s="183"/>
      <c r="CL16" s="183"/>
      <c r="CM16" s="183"/>
      <c r="CN16" s="183"/>
      <c r="CO16" s="183"/>
      <c r="CP16" s="183"/>
      <c r="CQ16" s="183"/>
      <c r="CR16" s="183"/>
      <c r="CS16" s="183"/>
      <c r="CT16" s="183"/>
      <c r="CU16" s="183"/>
      <c r="CV16" s="183"/>
      <c r="CW16" s="183"/>
      <c r="CX16" s="183"/>
      <c r="CY16" s="183"/>
      <c r="CZ16" s="183"/>
      <c r="DA16" s="183"/>
      <c r="DB16" s="183"/>
      <c r="DC16" s="183"/>
      <c r="DD16" s="183"/>
      <c r="DE16" s="183"/>
      <c r="DF16" s="183"/>
      <c r="DG16" s="183"/>
      <c r="DH16" s="183"/>
      <c r="DI16" s="183"/>
      <c r="DJ16" s="183"/>
      <c r="DK16" s="183"/>
      <c r="DL16" s="183"/>
      <c r="DM16" s="183"/>
      <c r="DN16" s="183"/>
      <c r="DO16" s="183"/>
      <c r="DP16" s="183"/>
      <c r="DQ16" s="183"/>
      <c r="DR16" s="183"/>
      <c r="DS16" s="183"/>
      <c r="DT16" s="183"/>
      <c r="DU16" s="183"/>
      <c r="DV16" s="183"/>
      <c r="DW16" s="183"/>
      <c r="DX16" s="183"/>
      <c r="DY16" s="183"/>
      <c r="DZ16" s="183"/>
      <c r="EA16" s="183"/>
      <c r="EB16" s="183"/>
      <c r="EC16" s="183"/>
      <c r="ED16" s="183"/>
      <c r="EE16" s="183"/>
      <c r="EF16" s="183"/>
      <c r="EG16" s="183"/>
      <c r="EH16" s="183"/>
      <c r="EI16" s="183"/>
      <c r="EJ16" s="183"/>
      <c r="EK16" s="183"/>
      <c r="EL16" s="183"/>
      <c r="EM16" s="183"/>
      <c r="EN16" s="183"/>
      <c r="EO16" s="183"/>
      <c r="EP16" s="183"/>
      <c r="EQ16" s="183"/>
      <c r="ER16" s="183"/>
      <c r="ES16" s="183"/>
      <c r="ET16" s="183"/>
      <c r="EU16" s="183"/>
      <c r="EV16" s="183"/>
      <c r="EW16" s="183"/>
      <c r="EX16" s="183"/>
      <c r="EY16" s="183"/>
      <c r="EZ16" s="183"/>
      <c r="FA16" s="183"/>
      <c r="FB16" s="183"/>
      <c r="FC16" s="183"/>
      <c r="FD16" s="183"/>
      <c r="FE16" s="183"/>
      <c r="FF16" s="183"/>
      <c r="FG16" s="183"/>
      <c r="FH16" s="183"/>
      <c r="FI16" s="183"/>
      <c r="FJ16" s="183"/>
      <c r="FK16" s="183"/>
      <c r="FL16" s="183"/>
      <c r="FM16" s="183"/>
      <c r="FN16" s="183"/>
      <c r="FO16" s="183"/>
      <c r="FP16" s="183"/>
      <c r="FQ16" s="183"/>
      <c r="FR16" s="183"/>
      <c r="FS16" s="183"/>
      <c r="FT16" s="183"/>
      <c r="FU16" s="183"/>
      <c r="FV16" s="183"/>
      <c r="FW16" s="183"/>
      <c r="FX16" s="183"/>
      <c r="FY16" s="183"/>
      <c r="FZ16" s="183"/>
      <c r="GA16" s="183"/>
      <c r="GB16" s="183"/>
      <c r="GC16" s="183"/>
      <c r="GD16" s="183"/>
      <c r="GE16" s="183"/>
      <c r="GF16" s="183"/>
      <c r="GG16" s="183"/>
      <c r="GH16" s="183"/>
      <c r="GI16" s="183"/>
      <c r="GJ16" s="183"/>
      <c r="GK16" s="183"/>
      <c r="GL16" s="183"/>
      <c r="GM16" s="183"/>
      <c r="GN16" s="183"/>
      <c r="GO16" s="183"/>
      <c r="GP16" s="183"/>
      <c r="GQ16" s="183"/>
      <c r="GR16" s="183"/>
      <c r="GS16" s="183"/>
      <c r="GT16" s="183"/>
      <c r="GU16" s="183"/>
      <c r="GV16" s="183"/>
      <c r="GW16" s="183"/>
      <c r="GX16" s="183"/>
      <c r="GY16" s="183"/>
      <c r="GZ16" s="183"/>
      <c r="HA16" s="183"/>
      <c r="HB16" s="183"/>
      <c r="HC16" s="183"/>
      <c r="HD16" s="183"/>
      <c r="HE16" s="183"/>
      <c r="HF16" s="183"/>
      <c r="HG16" s="183"/>
      <c r="HH16" s="183"/>
      <c r="HI16" s="183"/>
      <c r="HJ16" s="183"/>
      <c r="HK16" s="183"/>
      <c r="HL16" s="183"/>
      <c r="HM16" s="183"/>
      <c r="HN16" s="183"/>
      <c r="HO16" s="183"/>
      <c r="HP16" s="183"/>
      <c r="HQ16" s="183"/>
      <c r="HR16" s="183"/>
      <c r="HS16" s="183"/>
      <c r="HT16" s="183"/>
      <c r="HU16" s="183"/>
      <c r="HV16" s="183"/>
      <c r="HW16" s="183"/>
      <c r="HX16" s="183"/>
      <c r="HY16" s="183"/>
      <c r="HZ16" s="183"/>
      <c r="IA16" s="183"/>
      <c r="IB16" s="183"/>
      <c r="IC16" s="183"/>
      <c r="ID16" s="183"/>
      <c r="IE16" s="183"/>
      <c r="IF16" s="183"/>
      <c r="IG16" s="183"/>
      <c r="IH16" s="183"/>
      <c r="II16" s="183"/>
      <c r="IJ16" s="183"/>
      <c r="IK16" s="183"/>
      <c r="IL16" s="183"/>
      <c r="IM16" s="183"/>
      <c r="IN16" s="183"/>
      <c r="IO16" s="183"/>
      <c r="IP16" s="183"/>
      <c r="IQ16" s="183"/>
      <c r="IR16" s="183"/>
      <c r="IS16" s="183"/>
      <c r="IT16" s="183"/>
      <c r="IU16" s="183"/>
      <c r="IV16" s="183"/>
      <c r="IW16" s="183"/>
    </row>
    <row r="17" customFormat="false" ht="31.5" hidden="false" customHeight="true" outlineLevel="0" collapsed="false">
      <c r="A17" s="214" t="s">
        <v>95</v>
      </c>
      <c r="B17" s="215" t="n">
        <v>1200</v>
      </c>
      <c r="C17" s="216" t="n">
        <v>1500</v>
      </c>
      <c r="D17" s="217" t="n">
        <v>1</v>
      </c>
      <c r="E17" s="218" t="n">
        <f aca="false">B17*C17*D17*8/1000000</f>
        <v>14.4</v>
      </c>
      <c r="F17" s="218" t="n">
        <f aca="false">(700*550*D17*8/1000000)*2</f>
        <v>6.16</v>
      </c>
      <c r="G17" s="218" t="n">
        <f aca="false">SUM(E17:F17)</f>
        <v>20.56</v>
      </c>
      <c r="H17" s="219" t="n">
        <f aca="false">G17*H5*H3</f>
        <v>2035.44</v>
      </c>
      <c r="I17" s="220" t="n">
        <f aca="false">H17/B17*1000</f>
        <v>1696.2</v>
      </c>
      <c r="J17" s="167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  <c r="BB17" s="183"/>
      <c r="BC17" s="183"/>
      <c r="BD17" s="183"/>
      <c r="BE17" s="183"/>
      <c r="BF17" s="183"/>
      <c r="BG17" s="183"/>
      <c r="BH17" s="183"/>
      <c r="BI17" s="183"/>
      <c r="BJ17" s="183"/>
      <c r="BK17" s="183"/>
      <c r="BL17" s="183"/>
      <c r="BM17" s="183"/>
      <c r="BN17" s="183"/>
      <c r="BO17" s="183"/>
      <c r="BP17" s="183"/>
      <c r="BQ17" s="183"/>
      <c r="BR17" s="183"/>
      <c r="BS17" s="183"/>
      <c r="BT17" s="183"/>
      <c r="BU17" s="183"/>
      <c r="BV17" s="183"/>
      <c r="BW17" s="183"/>
      <c r="BX17" s="183"/>
      <c r="BY17" s="183"/>
      <c r="BZ17" s="183"/>
      <c r="CA17" s="183"/>
      <c r="CB17" s="183"/>
      <c r="CC17" s="183"/>
      <c r="CD17" s="183"/>
      <c r="CE17" s="183"/>
      <c r="CF17" s="183"/>
      <c r="CG17" s="183"/>
      <c r="CH17" s="183"/>
      <c r="CI17" s="183"/>
      <c r="CJ17" s="183"/>
      <c r="CK17" s="183"/>
      <c r="CL17" s="183"/>
      <c r="CM17" s="183"/>
      <c r="CN17" s="183"/>
      <c r="CO17" s="183"/>
      <c r="CP17" s="183"/>
      <c r="CQ17" s="183"/>
      <c r="CR17" s="183"/>
      <c r="CS17" s="183"/>
      <c r="CT17" s="183"/>
      <c r="CU17" s="183"/>
      <c r="CV17" s="183"/>
      <c r="CW17" s="183"/>
      <c r="CX17" s="183"/>
      <c r="CY17" s="183"/>
      <c r="CZ17" s="183"/>
      <c r="DA17" s="183"/>
      <c r="DB17" s="183"/>
      <c r="DC17" s="183"/>
      <c r="DD17" s="183"/>
      <c r="DE17" s="183"/>
      <c r="DF17" s="183"/>
      <c r="DG17" s="183"/>
      <c r="DH17" s="183"/>
      <c r="DI17" s="183"/>
      <c r="DJ17" s="183"/>
      <c r="DK17" s="183"/>
      <c r="DL17" s="183"/>
      <c r="DM17" s="183"/>
      <c r="DN17" s="183"/>
      <c r="DO17" s="183"/>
      <c r="DP17" s="183"/>
      <c r="DQ17" s="183"/>
      <c r="DR17" s="183"/>
      <c r="DS17" s="183"/>
      <c r="DT17" s="183"/>
      <c r="DU17" s="183"/>
      <c r="DV17" s="183"/>
      <c r="DW17" s="183"/>
      <c r="DX17" s="183"/>
      <c r="DY17" s="183"/>
      <c r="DZ17" s="183"/>
      <c r="EA17" s="183"/>
      <c r="EB17" s="183"/>
      <c r="EC17" s="183"/>
      <c r="ED17" s="183"/>
      <c r="EE17" s="183"/>
      <c r="EF17" s="183"/>
      <c r="EG17" s="183"/>
      <c r="EH17" s="183"/>
      <c r="EI17" s="183"/>
      <c r="EJ17" s="183"/>
      <c r="EK17" s="183"/>
      <c r="EL17" s="183"/>
      <c r="EM17" s="183"/>
      <c r="EN17" s="183"/>
      <c r="EO17" s="183"/>
      <c r="EP17" s="183"/>
      <c r="EQ17" s="183"/>
      <c r="ER17" s="183"/>
      <c r="ES17" s="183"/>
      <c r="ET17" s="183"/>
      <c r="EU17" s="183"/>
      <c r="EV17" s="183"/>
      <c r="EW17" s="183"/>
      <c r="EX17" s="183"/>
      <c r="EY17" s="183"/>
      <c r="EZ17" s="183"/>
      <c r="FA17" s="183"/>
      <c r="FB17" s="183"/>
      <c r="FC17" s="183"/>
      <c r="FD17" s="183"/>
      <c r="FE17" s="183"/>
      <c r="FF17" s="183"/>
      <c r="FG17" s="183"/>
      <c r="FH17" s="183"/>
      <c r="FI17" s="183"/>
      <c r="FJ17" s="183"/>
      <c r="FK17" s="183"/>
      <c r="FL17" s="183"/>
      <c r="FM17" s="183"/>
      <c r="FN17" s="183"/>
      <c r="FO17" s="183"/>
      <c r="FP17" s="183"/>
      <c r="FQ17" s="183"/>
      <c r="FR17" s="183"/>
      <c r="FS17" s="183"/>
      <c r="FT17" s="183"/>
      <c r="FU17" s="183"/>
      <c r="FV17" s="183"/>
      <c r="FW17" s="183"/>
      <c r="FX17" s="183"/>
      <c r="FY17" s="183"/>
      <c r="FZ17" s="183"/>
      <c r="GA17" s="183"/>
      <c r="GB17" s="183"/>
      <c r="GC17" s="183"/>
      <c r="GD17" s="183"/>
      <c r="GE17" s="183"/>
      <c r="GF17" s="183"/>
      <c r="GG17" s="183"/>
      <c r="GH17" s="183"/>
      <c r="GI17" s="183"/>
      <c r="GJ17" s="183"/>
      <c r="GK17" s="183"/>
      <c r="GL17" s="183"/>
      <c r="GM17" s="183"/>
      <c r="GN17" s="183"/>
      <c r="GO17" s="183"/>
      <c r="GP17" s="183"/>
      <c r="GQ17" s="183"/>
      <c r="GR17" s="183"/>
      <c r="GS17" s="183"/>
      <c r="GT17" s="183"/>
      <c r="GU17" s="183"/>
      <c r="GV17" s="183"/>
      <c r="GW17" s="183"/>
      <c r="GX17" s="183"/>
      <c r="GY17" s="183"/>
      <c r="GZ17" s="183"/>
      <c r="HA17" s="183"/>
      <c r="HB17" s="183"/>
      <c r="HC17" s="183"/>
      <c r="HD17" s="183"/>
      <c r="HE17" s="183"/>
      <c r="HF17" s="183"/>
      <c r="HG17" s="183"/>
      <c r="HH17" s="183"/>
      <c r="HI17" s="183"/>
      <c r="HJ17" s="183"/>
      <c r="HK17" s="183"/>
      <c r="HL17" s="183"/>
      <c r="HM17" s="183"/>
      <c r="HN17" s="183"/>
      <c r="HO17" s="183"/>
      <c r="HP17" s="183"/>
      <c r="HQ17" s="183"/>
      <c r="HR17" s="183"/>
      <c r="HS17" s="183"/>
      <c r="HT17" s="183"/>
      <c r="HU17" s="183"/>
      <c r="HV17" s="183"/>
      <c r="HW17" s="183"/>
      <c r="HX17" s="183"/>
      <c r="HY17" s="183"/>
      <c r="HZ17" s="183"/>
      <c r="IA17" s="183"/>
      <c r="IB17" s="183"/>
      <c r="IC17" s="183"/>
      <c r="ID17" s="183"/>
      <c r="IE17" s="183"/>
      <c r="IF17" s="183"/>
      <c r="IG17" s="183"/>
      <c r="IH17" s="183"/>
      <c r="II17" s="183"/>
      <c r="IJ17" s="183"/>
      <c r="IK17" s="183"/>
      <c r="IL17" s="183"/>
      <c r="IM17" s="183"/>
      <c r="IN17" s="183"/>
      <c r="IO17" s="183"/>
      <c r="IP17" s="183"/>
      <c r="IQ17" s="183"/>
      <c r="IR17" s="183"/>
      <c r="IS17" s="183"/>
      <c r="IT17" s="183"/>
      <c r="IU17" s="183"/>
      <c r="IV17" s="183"/>
      <c r="IW17" s="183"/>
    </row>
    <row r="18" customFormat="false" ht="6.75" hidden="false" customHeight="true" outlineLevel="0" collapsed="false">
      <c r="A18" s="213"/>
      <c r="B18" s="213"/>
      <c r="C18" s="213"/>
      <c r="D18" s="213"/>
      <c r="E18" s="213"/>
      <c r="F18" s="213"/>
      <c r="G18" s="213"/>
      <c r="H18" s="213"/>
      <c r="I18" s="213"/>
      <c r="J18" s="167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3"/>
      <c r="BB18" s="183"/>
      <c r="BC18" s="183"/>
      <c r="BD18" s="183"/>
      <c r="BE18" s="183"/>
      <c r="BF18" s="183"/>
      <c r="BG18" s="183"/>
      <c r="BH18" s="183"/>
      <c r="BI18" s="183"/>
      <c r="BJ18" s="183"/>
      <c r="BK18" s="183"/>
      <c r="BL18" s="183"/>
      <c r="BM18" s="183"/>
      <c r="BN18" s="183"/>
      <c r="BO18" s="183"/>
      <c r="BP18" s="183"/>
      <c r="BQ18" s="183"/>
      <c r="BR18" s="183"/>
      <c r="BS18" s="183"/>
      <c r="BT18" s="183"/>
      <c r="BU18" s="183"/>
      <c r="BV18" s="183"/>
      <c r="BW18" s="183"/>
      <c r="BX18" s="183"/>
      <c r="BY18" s="183"/>
      <c r="BZ18" s="183"/>
      <c r="CA18" s="183"/>
      <c r="CB18" s="183"/>
      <c r="CC18" s="183"/>
      <c r="CD18" s="183"/>
      <c r="CE18" s="183"/>
      <c r="CF18" s="183"/>
      <c r="CG18" s="183"/>
      <c r="CH18" s="183"/>
      <c r="CI18" s="183"/>
      <c r="CJ18" s="183"/>
      <c r="CK18" s="183"/>
      <c r="CL18" s="183"/>
      <c r="CM18" s="183"/>
      <c r="CN18" s="183"/>
      <c r="CO18" s="183"/>
      <c r="CP18" s="183"/>
      <c r="CQ18" s="183"/>
      <c r="CR18" s="183"/>
      <c r="CS18" s="183"/>
      <c r="CT18" s="183"/>
      <c r="CU18" s="183"/>
      <c r="CV18" s="183"/>
      <c r="CW18" s="183"/>
      <c r="CX18" s="183"/>
      <c r="CY18" s="183"/>
      <c r="CZ18" s="183"/>
      <c r="DA18" s="183"/>
      <c r="DB18" s="183"/>
      <c r="DC18" s="183"/>
      <c r="DD18" s="183"/>
      <c r="DE18" s="183"/>
      <c r="DF18" s="183"/>
      <c r="DG18" s="183"/>
      <c r="DH18" s="183"/>
      <c r="DI18" s="183"/>
      <c r="DJ18" s="183"/>
      <c r="DK18" s="183"/>
      <c r="DL18" s="183"/>
      <c r="DM18" s="183"/>
      <c r="DN18" s="183"/>
      <c r="DO18" s="183"/>
      <c r="DP18" s="183"/>
      <c r="DQ18" s="183"/>
      <c r="DR18" s="183"/>
      <c r="DS18" s="183"/>
      <c r="DT18" s="183"/>
      <c r="DU18" s="183"/>
      <c r="DV18" s="183"/>
      <c r="DW18" s="183"/>
      <c r="DX18" s="183"/>
      <c r="DY18" s="183"/>
      <c r="DZ18" s="183"/>
      <c r="EA18" s="183"/>
      <c r="EB18" s="183"/>
      <c r="EC18" s="183"/>
      <c r="ED18" s="183"/>
      <c r="EE18" s="183"/>
      <c r="EF18" s="183"/>
      <c r="EG18" s="183"/>
      <c r="EH18" s="183"/>
      <c r="EI18" s="183"/>
      <c r="EJ18" s="183"/>
      <c r="EK18" s="183"/>
      <c r="EL18" s="183"/>
      <c r="EM18" s="183"/>
      <c r="EN18" s="183"/>
      <c r="EO18" s="183"/>
      <c r="EP18" s="183"/>
      <c r="EQ18" s="183"/>
      <c r="ER18" s="183"/>
      <c r="ES18" s="183"/>
      <c r="ET18" s="183"/>
      <c r="EU18" s="183"/>
      <c r="EV18" s="183"/>
      <c r="EW18" s="183"/>
      <c r="EX18" s="183"/>
      <c r="EY18" s="183"/>
      <c r="EZ18" s="183"/>
      <c r="FA18" s="183"/>
      <c r="FB18" s="183"/>
      <c r="FC18" s="183"/>
      <c r="FD18" s="183"/>
      <c r="FE18" s="183"/>
      <c r="FF18" s="183"/>
      <c r="FG18" s="183"/>
      <c r="FH18" s="183"/>
      <c r="FI18" s="183"/>
      <c r="FJ18" s="183"/>
      <c r="FK18" s="183"/>
      <c r="FL18" s="183"/>
      <c r="FM18" s="183"/>
      <c r="FN18" s="183"/>
      <c r="FO18" s="183"/>
      <c r="FP18" s="183"/>
      <c r="FQ18" s="183"/>
      <c r="FR18" s="183"/>
      <c r="FS18" s="183"/>
      <c r="FT18" s="183"/>
      <c r="FU18" s="183"/>
      <c r="FV18" s="183"/>
      <c r="FW18" s="183"/>
      <c r="FX18" s="183"/>
      <c r="FY18" s="183"/>
      <c r="FZ18" s="183"/>
      <c r="GA18" s="183"/>
      <c r="GB18" s="183"/>
      <c r="GC18" s="183"/>
      <c r="GD18" s="183"/>
      <c r="GE18" s="183"/>
      <c r="GF18" s="183"/>
      <c r="GG18" s="183"/>
      <c r="GH18" s="183"/>
      <c r="GI18" s="183"/>
      <c r="GJ18" s="183"/>
      <c r="GK18" s="183"/>
      <c r="GL18" s="183"/>
      <c r="GM18" s="183"/>
      <c r="GN18" s="183"/>
      <c r="GO18" s="183"/>
      <c r="GP18" s="183"/>
      <c r="GQ18" s="183"/>
      <c r="GR18" s="183"/>
      <c r="GS18" s="183"/>
      <c r="GT18" s="183"/>
      <c r="GU18" s="183"/>
      <c r="GV18" s="183"/>
      <c r="GW18" s="183"/>
      <c r="GX18" s="183"/>
      <c r="GY18" s="183"/>
      <c r="GZ18" s="183"/>
      <c r="HA18" s="183"/>
      <c r="HB18" s="183"/>
      <c r="HC18" s="183"/>
      <c r="HD18" s="183"/>
      <c r="HE18" s="183"/>
      <c r="HF18" s="183"/>
      <c r="HG18" s="183"/>
      <c r="HH18" s="183"/>
      <c r="HI18" s="183"/>
      <c r="HJ18" s="183"/>
      <c r="HK18" s="183"/>
      <c r="HL18" s="183"/>
      <c r="HM18" s="183"/>
      <c r="HN18" s="183"/>
      <c r="HO18" s="183"/>
      <c r="HP18" s="183"/>
      <c r="HQ18" s="183"/>
      <c r="HR18" s="183"/>
      <c r="HS18" s="183"/>
      <c r="HT18" s="183"/>
      <c r="HU18" s="183"/>
      <c r="HV18" s="183"/>
      <c r="HW18" s="183"/>
      <c r="HX18" s="183"/>
      <c r="HY18" s="183"/>
      <c r="HZ18" s="183"/>
      <c r="IA18" s="183"/>
      <c r="IB18" s="183"/>
      <c r="IC18" s="183"/>
      <c r="ID18" s="183"/>
      <c r="IE18" s="183"/>
      <c r="IF18" s="183"/>
      <c r="IG18" s="183"/>
      <c r="IH18" s="183"/>
      <c r="II18" s="183"/>
      <c r="IJ18" s="183"/>
      <c r="IK18" s="183"/>
      <c r="IL18" s="183"/>
      <c r="IM18" s="183"/>
      <c r="IN18" s="183"/>
      <c r="IO18" s="183"/>
      <c r="IP18" s="183"/>
      <c r="IQ18" s="183"/>
      <c r="IR18" s="183"/>
      <c r="IS18" s="183"/>
      <c r="IT18" s="183"/>
      <c r="IU18" s="183"/>
      <c r="IV18" s="183"/>
      <c r="IW18" s="183"/>
    </row>
    <row r="19" customFormat="false" ht="31.5" hidden="false" customHeight="true" outlineLevel="0" collapsed="false">
      <c r="A19" s="221" t="s">
        <v>96</v>
      </c>
      <c r="B19" s="200" t="n">
        <v>1200</v>
      </c>
      <c r="C19" s="201" t="n">
        <v>1800</v>
      </c>
      <c r="D19" s="202" t="n">
        <v>1</v>
      </c>
      <c r="E19" s="203" t="n">
        <f aca="false">B19*C19*D19*8/1000000</f>
        <v>17.28</v>
      </c>
      <c r="F19" s="203" t="n">
        <f aca="false">6*D19</f>
        <v>6</v>
      </c>
      <c r="G19" s="203" t="n">
        <f aca="false">SUM(E19:F19)</f>
        <v>23.28</v>
      </c>
      <c r="H19" s="222" t="n">
        <f aca="false">G19*H5*H3</f>
        <v>2304.72</v>
      </c>
      <c r="I19" s="223" t="n">
        <f aca="false">H19/B19*1000</f>
        <v>1920.6</v>
      </c>
      <c r="J19" s="167"/>
    </row>
  </sheetData>
  <sheetProtection sheet="true"/>
  <mergeCells count="19">
    <mergeCell ref="A1:I1"/>
    <mergeCell ref="J1:J19"/>
    <mergeCell ref="A2:A5"/>
    <mergeCell ref="B2:B5"/>
    <mergeCell ref="C2:C5"/>
    <mergeCell ref="D2:D5"/>
    <mergeCell ref="E2:G2"/>
    <mergeCell ref="I2:I5"/>
    <mergeCell ref="E3:G3"/>
    <mergeCell ref="E4:E5"/>
    <mergeCell ref="F4:F5"/>
    <mergeCell ref="G4:G5"/>
    <mergeCell ref="A6:I6"/>
    <mergeCell ref="A8:I8"/>
    <mergeCell ref="A10:I10"/>
    <mergeCell ref="A12:I12"/>
    <mergeCell ref="A14:I14"/>
    <mergeCell ref="A16:I16"/>
    <mergeCell ref="A18:I18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3366"/>
    <pageSetUpPr fitToPage="false"/>
  </sheetPr>
  <dimension ref="A1:IW29"/>
  <sheetViews>
    <sheetView showFormulas="false" showGridLines="true" showRowColHeaders="true" showZeros="true" rightToLeft="false" tabSelected="false" showOutlineSymbols="true" defaultGridColor="true" view="normal" topLeftCell="D1" colorId="64" zoomScale="91" zoomScaleNormal="91" zoomScalePageLayoutView="100" workbookViewId="0">
      <selection pane="topLeft" activeCell="L4" activeCellId="0" sqref="L4:M4"/>
    </sheetView>
  </sheetViews>
  <sheetFormatPr defaultColWidth="9.28125" defaultRowHeight="12.75" customHeight="false" zeroHeight="false" outlineLevelRow="0" outlineLevelCol="0"/>
  <cols>
    <col collapsed="false" customWidth="true" hidden="false" outlineLevel="0" max="1" min="1" style="224" width="18.99"/>
    <col collapsed="false" customWidth="true" hidden="false" outlineLevel="0" max="3" min="2" style="224" width="18.28"/>
    <col collapsed="false" customWidth="true" hidden="false" outlineLevel="0" max="5" min="4" style="224" width="16.28"/>
    <col collapsed="false" customWidth="true" hidden="false" outlineLevel="0" max="6" min="6" style="224" width="19.28"/>
    <col collapsed="false" customWidth="true" hidden="false" outlineLevel="0" max="7" min="7" style="225" width="23.7"/>
    <col collapsed="false" customWidth="true" hidden="false" outlineLevel="0" max="8" min="8" style="225" width="2.28"/>
    <col collapsed="false" customWidth="true" hidden="false" outlineLevel="0" max="11" min="9" style="225" width="8.28"/>
    <col collapsed="false" customWidth="true" hidden="false" outlineLevel="0" max="12" min="12" style="225" width="13.7"/>
    <col collapsed="false" customWidth="true" hidden="false" outlineLevel="0" max="13" min="13" style="225" width="12.28"/>
    <col collapsed="false" customWidth="false" hidden="false" outlineLevel="0" max="15" min="14" style="225" width="9.28"/>
    <col collapsed="false" customWidth="true" hidden="false" outlineLevel="0" max="16" min="16" style="225" width="8.41"/>
    <col collapsed="false" customWidth="false" hidden="false" outlineLevel="0" max="18" min="17" style="225" width="9.28"/>
    <col collapsed="false" customWidth="true" hidden="false" outlineLevel="0" max="19" min="19" style="225" width="15.56"/>
    <col collapsed="false" customWidth="false" hidden="false" outlineLevel="0" max="257" min="20" style="225" width="9.28"/>
  </cols>
  <sheetData>
    <row r="1" customFormat="false" ht="25.5" hidden="false" customHeight="true" outlineLevel="0" collapsed="false">
      <c r="A1" s="226" t="s">
        <v>97</v>
      </c>
      <c r="B1" s="226"/>
      <c r="C1" s="226"/>
      <c r="D1" s="226"/>
      <c r="E1" s="226"/>
      <c r="F1" s="226"/>
      <c r="G1" s="226"/>
      <c r="I1" s="227" t="s">
        <v>98</v>
      </c>
      <c r="J1" s="227"/>
      <c r="K1" s="227"/>
      <c r="L1" s="228" t="s">
        <v>82</v>
      </c>
      <c r="M1" s="228"/>
      <c r="O1" s="227" t="s">
        <v>99</v>
      </c>
      <c r="P1" s="227"/>
      <c r="Q1" s="227"/>
      <c r="R1" s="228" t="s">
        <v>82</v>
      </c>
      <c r="S1" s="228"/>
    </row>
    <row r="2" customFormat="false" ht="20.25" hidden="false" customHeight="true" outlineLevel="0" collapsed="false">
      <c r="A2" s="229" t="s">
        <v>80</v>
      </c>
      <c r="B2" s="230" t="s">
        <v>100</v>
      </c>
      <c r="C2" s="230" t="s">
        <v>101</v>
      </c>
      <c r="D2" s="231"/>
      <c r="E2" s="232"/>
      <c r="F2" s="233"/>
      <c r="G2" s="234" t="s">
        <v>102</v>
      </c>
      <c r="I2" s="235" t="s">
        <v>2</v>
      </c>
      <c r="J2" s="236" t="s">
        <v>3</v>
      </c>
      <c r="K2" s="236" t="s">
        <v>4</v>
      </c>
      <c r="L2" s="237" t="n">
        <v>0.8</v>
      </c>
      <c r="M2" s="237"/>
      <c r="O2" s="235" t="s">
        <v>2</v>
      </c>
      <c r="P2" s="236" t="s">
        <v>3</v>
      </c>
      <c r="Q2" s="236" t="s">
        <v>4</v>
      </c>
      <c r="R2" s="237" t="n">
        <v>0.8</v>
      </c>
      <c r="S2" s="237"/>
    </row>
    <row r="3" customFormat="false" ht="23.25" hidden="false" customHeight="true" outlineLevel="0" collapsed="false">
      <c r="A3" s="238" t="n">
        <v>500</v>
      </c>
      <c r="B3" s="239" t="n">
        <v>200</v>
      </c>
      <c r="C3" s="239" t="n">
        <v>1.5</v>
      </c>
      <c r="D3" s="240"/>
      <c r="E3" s="232"/>
      <c r="F3" s="233"/>
      <c r="G3" s="241" t="n">
        <v>37</v>
      </c>
      <c r="I3" s="242" t="n">
        <f aca="false">$A$3</f>
        <v>500</v>
      </c>
      <c r="J3" s="243" t="n">
        <f aca="false">$B$3</f>
        <v>200</v>
      </c>
      <c r="K3" s="244" t="n">
        <v>100</v>
      </c>
      <c r="L3" s="245" t="n">
        <v>37</v>
      </c>
      <c r="M3" s="245"/>
      <c r="O3" s="242" t="n">
        <f aca="false">$A$3</f>
        <v>500</v>
      </c>
      <c r="P3" s="243" t="n">
        <f aca="false">J3-40-30</f>
        <v>130</v>
      </c>
      <c r="Q3" s="243" t="n">
        <f aca="false">K3/2</f>
        <v>50</v>
      </c>
      <c r="R3" s="245" t="n">
        <v>37</v>
      </c>
      <c r="S3" s="245"/>
      <c r="BG3" s="225" t="n">
        <v>0</v>
      </c>
    </row>
    <row r="4" customFormat="false" ht="21" hidden="false" customHeight="true" outlineLevel="0" collapsed="false">
      <c r="A4" s="246"/>
      <c r="B4" s="247"/>
      <c r="C4" s="247"/>
      <c r="D4" s="248"/>
      <c r="E4" s="240" t="s">
        <v>14</v>
      </c>
      <c r="F4" s="249"/>
      <c r="G4" s="250" t="s">
        <v>103</v>
      </c>
      <c r="I4" s="251" t="n">
        <f aca="false">((K3*2+I3)*J3+(K3*2*I3)+40000)</f>
        <v>280000</v>
      </c>
      <c r="J4" s="252" t="n">
        <f aca="false">I4*L2*8/1000000</f>
        <v>1.792</v>
      </c>
      <c r="K4" s="253" t="n">
        <v>3</v>
      </c>
      <c r="L4" s="254" t="n">
        <f aca="false">$J$4*$L$3*$K$4</f>
        <v>198.912</v>
      </c>
      <c r="M4" s="254"/>
      <c r="O4" s="255" t="n">
        <f aca="false">((30+(Q3*2)+P3)*O3)</f>
        <v>130000</v>
      </c>
      <c r="P4" s="252" t="n">
        <f aca="false">O4*R2*8/1000000</f>
        <v>0.832</v>
      </c>
      <c r="Q4" s="253" t="n">
        <v>3</v>
      </c>
      <c r="R4" s="254" t="n">
        <f aca="false">$P$4*$R$3*$Q$4</f>
        <v>92.352</v>
      </c>
      <c r="S4" s="254"/>
    </row>
    <row r="5" customFormat="false" ht="27" hidden="false" customHeight="true" outlineLevel="0" collapsed="false">
      <c r="A5" s="256" t="n">
        <f aca="false">A3+96</f>
        <v>596</v>
      </c>
      <c r="B5" s="257" t="n">
        <f aca="false">B3+96</f>
        <v>296</v>
      </c>
      <c r="C5" s="258" t="n">
        <f aca="false">A5*B5*C3*8/1000000</f>
        <v>2.116992</v>
      </c>
      <c r="D5" s="259"/>
      <c r="E5" s="260" t="n">
        <f aca="false">(C5*G3*3)</f>
        <v>234.986112</v>
      </c>
      <c r="F5" s="260"/>
      <c r="G5" s="261" t="n">
        <f aca="false">E5+C27</f>
        <v>297.146112</v>
      </c>
    </row>
    <row r="6" customFormat="false" ht="27" hidden="false" customHeight="false" outlineLevel="0" collapsed="false">
      <c r="A6" s="262" t="s">
        <v>104</v>
      </c>
      <c r="B6" s="262"/>
      <c r="C6" s="262"/>
      <c r="D6" s="262"/>
      <c r="E6" s="262"/>
      <c r="F6" s="262"/>
      <c r="G6" s="262"/>
      <c r="I6" s="263" t="s">
        <v>105</v>
      </c>
    </row>
    <row r="7" customFormat="false" ht="25.5" hidden="false" customHeight="false" outlineLevel="0" collapsed="false">
      <c r="A7" s="264" t="s">
        <v>80</v>
      </c>
      <c r="B7" s="265" t="s">
        <v>100</v>
      </c>
      <c r="C7" s="265" t="s">
        <v>101</v>
      </c>
      <c r="D7" s="265" t="s">
        <v>106</v>
      </c>
      <c r="E7" s="265" t="s">
        <v>107</v>
      </c>
      <c r="F7" s="266" t="s">
        <v>108</v>
      </c>
      <c r="G7" s="267" t="s">
        <v>109</v>
      </c>
      <c r="I7" s="263" t="s">
        <v>110</v>
      </c>
    </row>
    <row r="8" customFormat="false" ht="19.5" hidden="false" customHeight="true" outlineLevel="0" collapsed="false">
      <c r="A8" s="268" t="n">
        <f aca="false">A3</f>
        <v>500</v>
      </c>
      <c r="B8" s="269" t="n">
        <f aca="false">B3</f>
        <v>200</v>
      </c>
      <c r="C8" s="269" t="n">
        <f aca="false">C3</f>
        <v>1.5</v>
      </c>
      <c r="D8" s="269" t="n">
        <v>50</v>
      </c>
      <c r="E8" s="269" t="n">
        <v>20</v>
      </c>
      <c r="F8" s="266" t="n">
        <f aca="false">C9*E10*C8*8/1000000</f>
        <v>3.46971428571429</v>
      </c>
      <c r="G8" s="270" t="n">
        <v>37</v>
      </c>
      <c r="I8" s="263" t="s">
        <v>111</v>
      </c>
    </row>
    <row r="9" customFormat="false" ht="26.25" hidden="false" customHeight="true" outlineLevel="0" collapsed="false">
      <c r="A9" s="271" t="s">
        <v>112</v>
      </c>
      <c r="B9" s="272" t="n">
        <f aca="false">A8/(D8+E8)+1</f>
        <v>8.14285714285714</v>
      </c>
      <c r="C9" s="272" t="n">
        <f aca="false">B9*B8+(A8*2)</f>
        <v>2628.57142857143</v>
      </c>
      <c r="D9" s="273" t="n">
        <f aca="false">F8*G8*3.2</f>
        <v>410.814171428571</v>
      </c>
      <c r="E9" s="273"/>
      <c r="F9" s="274"/>
      <c r="G9" s="275"/>
      <c r="I9" s="263"/>
    </row>
    <row r="10" customFormat="false" ht="19.5" hidden="false" customHeight="true" outlineLevel="0" collapsed="false">
      <c r="A10" s="271" t="s">
        <v>113</v>
      </c>
      <c r="B10" s="272" t="n">
        <f aca="false">B9*B8+(A8*3)</f>
        <v>3128.57142857143</v>
      </c>
      <c r="C10" s="276" t="n">
        <f aca="false">(B10*D8*C8*8/1000000)*G8*3.5</f>
        <v>243.09</v>
      </c>
      <c r="D10" s="277" t="s">
        <v>81</v>
      </c>
      <c r="E10" s="278" t="n">
        <f aca="false">60+D8</f>
        <v>110</v>
      </c>
      <c r="F10" s="279" t="s">
        <v>114</v>
      </c>
      <c r="G10" s="279"/>
      <c r="I10" s="263" t="s">
        <v>115</v>
      </c>
    </row>
    <row r="11" customFormat="false" ht="14.25" hidden="false" customHeight="true" outlineLevel="0" collapsed="false">
      <c r="A11" s="271" t="s">
        <v>116</v>
      </c>
      <c r="B11" s="272" t="n">
        <f aca="false">B9*B8+(A8*4)</f>
        <v>3628.57142857143</v>
      </c>
      <c r="C11" s="276" t="n">
        <f aca="false">(B11*D8*C8*8/1000000)*G8*3.5</f>
        <v>281.94</v>
      </c>
      <c r="D11" s="280" t="n">
        <v>20</v>
      </c>
      <c r="E11" s="281"/>
      <c r="F11" s="282" t="n">
        <f aca="false">D9+C28</f>
        <v>472.974171428571</v>
      </c>
      <c r="G11" s="282"/>
    </row>
    <row r="12" customFormat="false" ht="14.25" hidden="false" customHeight="true" outlineLevel="0" collapsed="false">
      <c r="A12" s="271" t="s">
        <v>117</v>
      </c>
      <c r="B12" s="272" t="n">
        <f aca="false">B9*B8+(A8*5)</f>
        <v>4128.57142857143</v>
      </c>
      <c r="C12" s="276" t="n">
        <f aca="false">(B12*D8*C8*8/1000000)*G8*3.5</f>
        <v>320.79</v>
      </c>
      <c r="D12" s="283" t="n">
        <v>10</v>
      </c>
      <c r="E12" s="283"/>
      <c r="F12" s="282"/>
      <c r="G12" s="282"/>
      <c r="I12" s="284" t="s">
        <v>118</v>
      </c>
      <c r="J12" s="284"/>
      <c r="K12" s="284"/>
      <c r="L12" s="285" t="s">
        <v>119</v>
      </c>
      <c r="M12" s="285"/>
      <c r="U12" s="286"/>
    </row>
    <row r="13" customFormat="false" ht="25.5" hidden="false" customHeight="true" outlineLevel="0" collapsed="false">
      <c r="A13" s="287" t="s">
        <v>120</v>
      </c>
      <c r="B13" s="287"/>
      <c r="C13" s="287"/>
      <c r="D13" s="287"/>
      <c r="E13" s="287"/>
      <c r="F13" s="287"/>
      <c r="G13" s="287"/>
      <c r="I13" s="284"/>
      <c r="J13" s="284"/>
      <c r="K13" s="284"/>
      <c r="L13" s="285"/>
      <c r="M13" s="285"/>
    </row>
    <row r="14" customFormat="false" ht="15.75" hidden="false" customHeight="true" outlineLevel="0" collapsed="false">
      <c r="A14" s="288" t="s">
        <v>80</v>
      </c>
      <c r="B14" s="289" t="s">
        <v>100</v>
      </c>
      <c r="C14" s="289" t="s">
        <v>101</v>
      </c>
      <c r="D14" s="289" t="s">
        <v>29</v>
      </c>
      <c r="E14" s="289" t="s">
        <v>107</v>
      </c>
      <c r="F14" s="289" t="s">
        <v>121</v>
      </c>
      <c r="G14" s="290" t="s">
        <v>108</v>
      </c>
      <c r="I14" s="284"/>
      <c r="J14" s="284"/>
      <c r="K14" s="284"/>
      <c r="L14" s="285"/>
      <c r="M14" s="285"/>
      <c r="N14" s="291"/>
    </row>
    <row r="15" customFormat="false" ht="24" hidden="false" customHeight="true" outlineLevel="0" collapsed="false">
      <c r="A15" s="292" t="n">
        <v>1000</v>
      </c>
      <c r="B15" s="293" t="n">
        <v>150</v>
      </c>
      <c r="C15" s="294" t="n">
        <v>1.5</v>
      </c>
      <c r="D15" s="294" t="n">
        <v>100</v>
      </c>
      <c r="E15" s="294" t="n">
        <v>10</v>
      </c>
      <c r="F15" s="295" t="n">
        <v>37</v>
      </c>
      <c r="G15" s="296" t="n">
        <v>31.97</v>
      </c>
      <c r="I15" s="297" t="n">
        <f aca="false">E5+L4</f>
        <v>433.898112</v>
      </c>
      <c r="J15" s="297"/>
      <c r="K15" s="297"/>
      <c r="L15" s="254" t="n">
        <f aca="false">E5+L4+R4</f>
        <v>526.250112</v>
      </c>
      <c r="M15" s="254"/>
      <c r="N15" s="298"/>
    </row>
    <row r="16" customFormat="false" ht="38.25" hidden="false" customHeight="true" outlineLevel="0" collapsed="false">
      <c r="A16" s="299" t="s">
        <v>112</v>
      </c>
      <c r="B16" s="300" t="n">
        <f aca="false">A15/(C15+E15)+1</f>
        <v>87.9565217391304</v>
      </c>
      <c r="C16" s="300" t="n">
        <f aca="false">B16*B15+(A15*2)</f>
        <v>15193.4782608696</v>
      </c>
      <c r="D16" s="301" t="n">
        <f aca="false">(C16/1000)*F15*3</f>
        <v>1686.47608695652</v>
      </c>
      <c r="E16" s="301"/>
      <c r="F16" s="302"/>
      <c r="G16" s="303" t="s">
        <v>109</v>
      </c>
      <c r="I16" s="291"/>
      <c r="J16" s="291"/>
      <c r="K16" s="291"/>
      <c r="L16" s="291"/>
      <c r="M16" s="291"/>
      <c r="N16" s="291"/>
    </row>
    <row r="17" customFormat="false" ht="15.75" hidden="false" customHeight="true" outlineLevel="0" collapsed="false">
      <c r="A17" s="299" t="s">
        <v>113</v>
      </c>
      <c r="B17" s="300" t="n">
        <f aca="false">B16*B15+(A15*3)</f>
        <v>16193.4782608696</v>
      </c>
      <c r="C17" s="304" t="n">
        <f aca="false">(B17/1000)*F15*4.5</f>
        <v>2696.21413043478</v>
      </c>
      <c r="D17" s="305"/>
      <c r="E17" s="306"/>
      <c r="F17" s="306"/>
      <c r="G17" s="307" t="n">
        <v>37</v>
      </c>
      <c r="H17" s="291"/>
      <c r="K17" s="308" t="s">
        <v>122</v>
      </c>
      <c r="O17" s="291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1"/>
      <c r="AG17" s="291"/>
      <c r="AH17" s="291"/>
      <c r="AI17" s="291"/>
      <c r="AJ17" s="291"/>
      <c r="AK17" s="291"/>
      <c r="AL17" s="291"/>
      <c r="AM17" s="291"/>
      <c r="AN17" s="291"/>
      <c r="AO17" s="291"/>
      <c r="AP17" s="291"/>
      <c r="AQ17" s="291"/>
      <c r="AR17" s="291"/>
      <c r="AS17" s="291"/>
      <c r="AT17" s="291"/>
      <c r="AU17" s="291"/>
      <c r="AV17" s="291"/>
      <c r="AW17" s="291"/>
      <c r="AX17" s="291"/>
      <c r="AY17" s="291"/>
      <c r="AZ17" s="291"/>
      <c r="BA17" s="291"/>
      <c r="BB17" s="291"/>
      <c r="BC17" s="291"/>
      <c r="BD17" s="291"/>
      <c r="BE17" s="291"/>
      <c r="BF17" s="291"/>
      <c r="BG17" s="291"/>
      <c r="BH17" s="291"/>
      <c r="BI17" s="291"/>
      <c r="BJ17" s="291"/>
      <c r="BK17" s="291"/>
      <c r="BL17" s="291"/>
      <c r="BM17" s="291"/>
      <c r="BN17" s="291"/>
      <c r="BO17" s="291"/>
      <c r="BP17" s="291"/>
      <c r="BQ17" s="291"/>
      <c r="BR17" s="291"/>
      <c r="BS17" s="291"/>
      <c r="BT17" s="291"/>
      <c r="BU17" s="291"/>
      <c r="BV17" s="291"/>
      <c r="BW17" s="291"/>
      <c r="BX17" s="291"/>
      <c r="BY17" s="291"/>
      <c r="BZ17" s="291"/>
      <c r="CA17" s="291"/>
      <c r="CB17" s="291"/>
      <c r="CC17" s="291"/>
      <c r="CD17" s="291"/>
      <c r="CE17" s="291"/>
      <c r="CF17" s="291"/>
      <c r="CG17" s="291"/>
      <c r="CH17" s="291"/>
      <c r="CI17" s="291"/>
      <c r="CJ17" s="291"/>
      <c r="CK17" s="291"/>
      <c r="CL17" s="291"/>
      <c r="CM17" s="291"/>
      <c r="CN17" s="291"/>
      <c r="CO17" s="291"/>
      <c r="CP17" s="291"/>
      <c r="CQ17" s="291"/>
      <c r="CR17" s="291"/>
      <c r="CS17" s="291"/>
      <c r="CT17" s="291"/>
      <c r="CU17" s="291"/>
      <c r="CV17" s="291"/>
      <c r="CW17" s="291"/>
      <c r="CX17" s="291"/>
      <c r="CY17" s="291"/>
      <c r="CZ17" s="291"/>
      <c r="DA17" s="291"/>
      <c r="DB17" s="291"/>
      <c r="DC17" s="291"/>
      <c r="DD17" s="291"/>
      <c r="DE17" s="291"/>
      <c r="DF17" s="291"/>
      <c r="DG17" s="291"/>
      <c r="DH17" s="291"/>
      <c r="DI17" s="291"/>
      <c r="DJ17" s="291"/>
      <c r="DK17" s="291"/>
      <c r="DL17" s="291"/>
      <c r="DM17" s="291"/>
      <c r="DN17" s="291"/>
      <c r="DO17" s="291"/>
      <c r="DP17" s="291"/>
      <c r="DQ17" s="291"/>
      <c r="DR17" s="291"/>
      <c r="DS17" s="291"/>
      <c r="DT17" s="291"/>
      <c r="DU17" s="291"/>
      <c r="DV17" s="291"/>
      <c r="DW17" s="291"/>
      <c r="DX17" s="291"/>
      <c r="DY17" s="291"/>
      <c r="DZ17" s="291"/>
      <c r="EA17" s="291"/>
      <c r="EB17" s="291"/>
      <c r="EC17" s="291"/>
      <c r="ED17" s="291"/>
      <c r="EE17" s="291"/>
      <c r="EF17" s="291"/>
      <c r="EG17" s="291"/>
      <c r="EH17" s="291"/>
      <c r="EI17" s="291"/>
      <c r="EJ17" s="291"/>
      <c r="EK17" s="291"/>
      <c r="EL17" s="291"/>
      <c r="EM17" s="291"/>
      <c r="EN17" s="291"/>
      <c r="EO17" s="291"/>
      <c r="EP17" s="291"/>
      <c r="EQ17" s="291"/>
      <c r="ER17" s="291"/>
      <c r="ES17" s="291"/>
      <c r="ET17" s="291"/>
      <c r="EU17" s="291"/>
      <c r="EV17" s="291"/>
      <c r="EW17" s="291"/>
      <c r="EX17" s="291"/>
      <c r="EY17" s="291"/>
      <c r="EZ17" s="291"/>
      <c r="FA17" s="291"/>
      <c r="FB17" s="291"/>
      <c r="FC17" s="291"/>
      <c r="FD17" s="291"/>
      <c r="FE17" s="291"/>
      <c r="FF17" s="291"/>
      <c r="FG17" s="291"/>
      <c r="FH17" s="291"/>
      <c r="FI17" s="291"/>
      <c r="FJ17" s="291"/>
      <c r="FK17" s="291"/>
      <c r="FL17" s="291"/>
      <c r="FM17" s="291"/>
      <c r="FN17" s="291"/>
      <c r="FO17" s="291"/>
      <c r="FP17" s="291"/>
      <c r="FQ17" s="291"/>
      <c r="FR17" s="291"/>
      <c r="FS17" s="291"/>
      <c r="FT17" s="291"/>
      <c r="FU17" s="291"/>
      <c r="FV17" s="291"/>
      <c r="FW17" s="291"/>
      <c r="FX17" s="291"/>
      <c r="FY17" s="291"/>
      <c r="FZ17" s="291"/>
      <c r="GA17" s="291"/>
      <c r="GB17" s="291"/>
      <c r="GC17" s="291"/>
      <c r="GD17" s="291"/>
      <c r="GE17" s="291"/>
      <c r="GF17" s="291"/>
      <c r="GG17" s="291"/>
      <c r="GH17" s="291"/>
      <c r="GI17" s="291"/>
      <c r="GJ17" s="291"/>
      <c r="GK17" s="291"/>
      <c r="GL17" s="291"/>
      <c r="GM17" s="291"/>
      <c r="GN17" s="291"/>
      <c r="GO17" s="291"/>
      <c r="GP17" s="291"/>
      <c r="GQ17" s="291"/>
      <c r="GR17" s="291"/>
      <c r="GS17" s="291"/>
      <c r="GT17" s="291"/>
      <c r="GU17" s="291"/>
      <c r="GV17" s="291"/>
      <c r="GW17" s="291"/>
      <c r="GX17" s="291"/>
      <c r="GY17" s="291"/>
      <c r="GZ17" s="291"/>
      <c r="HA17" s="291"/>
      <c r="HB17" s="291"/>
      <c r="HC17" s="291"/>
      <c r="HD17" s="291"/>
      <c r="HE17" s="291"/>
      <c r="HF17" s="291"/>
      <c r="HG17" s="291"/>
      <c r="HH17" s="291"/>
      <c r="HI17" s="291"/>
      <c r="HJ17" s="291"/>
      <c r="HK17" s="291"/>
      <c r="HL17" s="291"/>
      <c r="HM17" s="291"/>
      <c r="HN17" s="291"/>
      <c r="HO17" s="291"/>
      <c r="HP17" s="291"/>
      <c r="HQ17" s="291"/>
      <c r="HR17" s="291"/>
      <c r="HS17" s="291"/>
      <c r="HT17" s="291"/>
      <c r="HU17" s="291"/>
      <c r="HV17" s="291"/>
      <c r="HW17" s="291"/>
      <c r="HX17" s="291"/>
      <c r="HY17" s="291"/>
      <c r="HZ17" s="291"/>
      <c r="IA17" s="291"/>
      <c r="IB17" s="291"/>
      <c r="IC17" s="291"/>
      <c r="ID17" s="291"/>
      <c r="IE17" s="291"/>
      <c r="IF17" s="291"/>
      <c r="IG17" s="291"/>
      <c r="IH17" s="291"/>
      <c r="II17" s="291"/>
      <c r="IJ17" s="291"/>
      <c r="IK17" s="291"/>
      <c r="IL17" s="291"/>
      <c r="IM17" s="291"/>
      <c r="IN17" s="291"/>
      <c r="IO17" s="291"/>
      <c r="IP17" s="291"/>
      <c r="IQ17" s="291"/>
      <c r="IR17" s="291"/>
      <c r="IS17" s="291"/>
      <c r="IT17" s="291"/>
      <c r="IU17" s="291"/>
      <c r="IV17" s="291"/>
      <c r="IW17" s="291"/>
    </row>
    <row r="18" customFormat="false" ht="15.75" hidden="false" customHeight="true" outlineLevel="0" collapsed="false">
      <c r="A18" s="299" t="s">
        <v>116</v>
      </c>
      <c r="B18" s="300" t="n">
        <f aca="false">B16*B15+(A15*4)</f>
        <v>17193.4782608696</v>
      </c>
      <c r="C18" s="304" t="n">
        <f aca="false">(B18/1000)*F15*4.5</f>
        <v>2862.71413043478</v>
      </c>
      <c r="D18" s="305"/>
      <c r="E18" s="306"/>
      <c r="F18" s="306"/>
      <c r="G18" s="309"/>
      <c r="H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291"/>
      <c r="AI18" s="291"/>
      <c r="AJ18" s="291"/>
      <c r="AK18" s="291"/>
      <c r="AL18" s="291"/>
      <c r="AM18" s="291"/>
      <c r="AN18" s="291"/>
      <c r="AO18" s="291"/>
      <c r="AP18" s="291"/>
      <c r="AQ18" s="291"/>
      <c r="AR18" s="291"/>
      <c r="AS18" s="291"/>
      <c r="AT18" s="291"/>
      <c r="AU18" s="291"/>
      <c r="AV18" s="291"/>
      <c r="AW18" s="291"/>
      <c r="AX18" s="291"/>
      <c r="AY18" s="291"/>
      <c r="AZ18" s="291"/>
      <c r="BA18" s="291"/>
      <c r="BB18" s="291"/>
      <c r="BC18" s="291"/>
      <c r="BD18" s="291"/>
      <c r="BE18" s="291"/>
      <c r="BF18" s="291"/>
      <c r="BG18" s="291"/>
      <c r="BH18" s="291"/>
      <c r="BI18" s="291"/>
      <c r="BJ18" s="291"/>
      <c r="BK18" s="291"/>
      <c r="BL18" s="291"/>
      <c r="BM18" s="291"/>
      <c r="BN18" s="291"/>
      <c r="BO18" s="291"/>
      <c r="BP18" s="291"/>
      <c r="BQ18" s="291"/>
      <c r="BR18" s="291"/>
      <c r="BS18" s="291"/>
      <c r="BT18" s="291"/>
      <c r="BU18" s="291"/>
      <c r="BV18" s="291"/>
      <c r="BW18" s="291"/>
      <c r="BX18" s="291"/>
      <c r="BY18" s="291"/>
      <c r="BZ18" s="291"/>
      <c r="CA18" s="291"/>
      <c r="CB18" s="291"/>
      <c r="CC18" s="291"/>
      <c r="CD18" s="291"/>
      <c r="CE18" s="291"/>
      <c r="CF18" s="291"/>
      <c r="CG18" s="291"/>
      <c r="CH18" s="291"/>
      <c r="CI18" s="291"/>
      <c r="CJ18" s="291"/>
      <c r="CK18" s="291"/>
      <c r="CL18" s="291"/>
      <c r="CM18" s="291"/>
      <c r="CN18" s="291"/>
      <c r="CO18" s="291"/>
      <c r="CP18" s="291"/>
      <c r="CQ18" s="291"/>
      <c r="CR18" s="291"/>
      <c r="CS18" s="291"/>
      <c r="CT18" s="291"/>
      <c r="CU18" s="291"/>
      <c r="CV18" s="291"/>
      <c r="CW18" s="291"/>
      <c r="CX18" s="291"/>
      <c r="CY18" s="291"/>
      <c r="CZ18" s="291"/>
      <c r="DA18" s="291"/>
      <c r="DB18" s="291"/>
      <c r="DC18" s="291"/>
      <c r="DD18" s="291"/>
      <c r="DE18" s="291"/>
      <c r="DF18" s="291"/>
      <c r="DG18" s="291"/>
      <c r="DH18" s="291"/>
      <c r="DI18" s="291"/>
      <c r="DJ18" s="291"/>
      <c r="DK18" s="291"/>
      <c r="DL18" s="291"/>
      <c r="DM18" s="291"/>
      <c r="DN18" s="291"/>
      <c r="DO18" s="291"/>
      <c r="DP18" s="291"/>
      <c r="DQ18" s="291"/>
      <c r="DR18" s="291"/>
      <c r="DS18" s="291"/>
      <c r="DT18" s="291"/>
      <c r="DU18" s="291"/>
      <c r="DV18" s="291"/>
      <c r="DW18" s="291"/>
      <c r="DX18" s="291"/>
      <c r="DY18" s="291"/>
      <c r="DZ18" s="291"/>
      <c r="EA18" s="291"/>
      <c r="EB18" s="291"/>
      <c r="EC18" s="291"/>
      <c r="ED18" s="291"/>
      <c r="EE18" s="291"/>
      <c r="EF18" s="291"/>
      <c r="EG18" s="291"/>
      <c r="EH18" s="291"/>
      <c r="EI18" s="291"/>
      <c r="EJ18" s="291"/>
      <c r="EK18" s="291"/>
      <c r="EL18" s="291"/>
      <c r="EM18" s="291"/>
      <c r="EN18" s="291"/>
      <c r="EO18" s="291"/>
      <c r="EP18" s="291"/>
      <c r="EQ18" s="291"/>
      <c r="ER18" s="291"/>
      <c r="ES18" s="291"/>
      <c r="ET18" s="291"/>
      <c r="EU18" s="291"/>
      <c r="EV18" s="291"/>
      <c r="EW18" s="291"/>
      <c r="EX18" s="291"/>
      <c r="EY18" s="291"/>
      <c r="EZ18" s="291"/>
      <c r="FA18" s="291"/>
      <c r="FB18" s="291"/>
      <c r="FC18" s="291"/>
      <c r="FD18" s="291"/>
      <c r="FE18" s="291"/>
      <c r="FF18" s="291"/>
      <c r="FG18" s="291"/>
      <c r="FH18" s="291"/>
      <c r="FI18" s="291"/>
      <c r="FJ18" s="291"/>
      <c r="FK18" s="291"/>
      <c r="FL18" s="291"/>
      <c r="FM18" s="291"/>
      <c r="FN18" s="291"/>
      <c r="FO18" s="291"/>
      <c r="FP18" s="291"/>
      <c r="FQ18" s="291"/>
      <c r="FR18" s="291"/>
      <c r="FS18" s="291"/>
      <c r="FT18" s="291"/>
      <c r="FU18" s="291"/>
      <c r="FV18" s="291"/>
      <c r="FW18" s="291"/>
      <c r="FX18" s="291"/>
      <c r="FY18" s="291"/>
      <c r="FZ18" s="291"/>
      <c r="GA18" s="291"/>
      <c r="GB18" s="291"/>
      <c r="GC18" s="291"/>
      <c r="GD18" s="291"/>
      <c r="GE18" s="291"/>
      <c r="GF18" s="291"/>
      <c r="GG18" s="291"/>
      <c r="GH18" s="291"/>
      <c r="GI18" s="291"/>
      <c r="GJ18" s="291"/>
      <c r="GK18" s="291"/>
      <c r="GL18" s="291"/>
      <c r="GM18" s="291"/>
      <c r="GN18" s="291"/>
      <c r="GO18" s="291"/>
      <c r="GP18" s="291"/>
      <c r="GQ18" s="291"/>
      <c r="GR18" s="291"/>
      <c r="GS18" s="291"/>
      <c r="GT18" s="291"/>
      <c r="GU18" s="291"/>
      <c r="GV18" s="291"/>
      <c r="GW18" s="291"/>
      <c r="GX18" s="291"/>
      <c r="GY18" s="291"/>
      <c r="GZ18" s="291"/>
      <c r="HA18" s="291"/>
      <c r="HB18" s="291"/>
      <c r="HC18" s="291"/>
      <c r="HD18" s="291"/>
      <c r="HE18" s="291"/>
      <c r="HF18" s="291"/>
      <c r="HG18" s="291"/>
      <c r="HH18" s="291"/>
      <c r="HI18" s="291"/>
      <c r="HJ18" s="291"/>
      <c r="HK18" s="291"/>
      <c r="HL18" s="291"/>
      <c r="HM18" s="291"/>
      <c r="HN18" s="291"/>
      <c r="HO18" s="291"/>
      <c r="HP18" s="291"/>
      <c r="HQ18" s="291"/>
      <c r="HR18" s="291"/>
      <c r="HS18" s="291"/>
      <c r="HT18" s="291"/>
      <c r="HU18" s="291"/>
      <c r="HV18" s="291"/>
      <c r="HW18" s="291"/>
      <c r="HX18" s="291"/>
      <c r="HY18" s="291"/>
      <c r="HZ18" s="291"/>
      <c r="IA18" s="291"/>
      <c r="IB18" s="291"/>
      <c r="IC18" s="291"/>
      <c r="ID18" s="291"/>
      <c r="IE18" s="291"/>
      <c r="IF18" s="291"/>
      <c r="IG18" s="291"/>
      <c r="IH18" s="291"/>
      <c r="II18" s="291"/>
      <c r="IJ18" s="291"/>
      <c r="IK18" s="291"/>
      <c r="IL18" s="291"/>
      <c r="IM18" s="291"/>
      <c r="IN18" s="291"/>
      <c r="IO18" s="291"/>
      <c r="IP18" s="291"/>
      <c r="IQ18" s="291"/>
      <c r="IR18" s="291"/>
      <c r="IS18" s="291"/>
      <c r="IT18" s="291"/>
      <c r="IU18" s="291"/>
      <c r="IV18" s="291"/>
      <c r="IW18" s="291"/>
    </row>
    <row r="19" customFormat="false" ht="15.75" hidden="false" customHeight="true" outlineLevel="0" collapsed="false">
      <c r="A19" s="299" t="s">
        <v>117</v>
      </c>
      <c r="B19" s="300" t="n">
        <f aca="false">B16*B15+(A15*5)</f>
        <v>18193.4782608696</v>
      </c>
      <c r="C19" s="304" t="n">
        <f aca="false">(B19/1000)*F15*4.5</f>
        <v>3029.21413043478</v>
      </c>
      <c r="D19" s="305"/>
      <c r="E19" s="310"/>
      <c r="F19" s="311" t="s">
        <v>123</v>
      </c>
      <c r="G19" s="312" t="n">
        <f aca="false">D16+C29</f>
        <v>1747.31608695652</v>
      </c>
      <c r="H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1"/>
      <c r="AH19" s="291"/>
      <c r="AI19" s="291"/>
      <c r="AJ19" s="291"/>
      <c r="AK19" s="291"/>
      <c r="AL19" s="291"/>
      <c r="AM19" s="291"/>
      <c r="AN19" s="291"/>
      <c r="AO19" s="291"/>
      <c r="AP19" s="291"/>
      <c r="AQ19" s="291"/>
      <c r="AR19" s="291"/>
      <c r="AS19" s="291"/>
      <c r="AT19" s="291"/>
      <c r="AU19" s="291"/>
      <c r="AV19" s="291"/>
      <c r="AW19" s="291"/>
      <c r="AX19" s="291"/>
      <c r="AY19" s="291"/>
      <c r="AZ19" s="291"/>
      <c r="BA19" s="291"/>
      <c r="BB19" s="291"/>
      <c r="BC19" s="291"/>
      <c r="BD19" s="291"/>
      <c r="BE19" s="291"/>
      <c r="BF19" s="291"/>
      <c r="BG19" s="291"/>
      <c r="BH19" s="291"/>
      <c r="BI19" s="291"/>
      <c r="BJ19" s="291"/>
      <c r="BK19" s="291"/>
      <c r="BL19" s="291"/>
      <c r="BM19" s="291"/>
      <c r="BN19" s="291"/>
      <c r="BO19" s="291"/>
      <c r="BP19" s="291"/>
      <c r="BQ19" s="291"/>
      <c r="BR19" s="291"/>
      <c r="BS19" s="291"/>
      <c r="BT19" s="291"/>
      <c r="BU19" s="291"/>
      <c r="BV19" s="291"/>
      <c r="BW19" s="291"/>
      <c r="BX19" s="291"/>
      <c r="BY19" s="291"/>
      <c r="BZ19" s="291"/>
      <c r="CA19" s="291"/>
      <c r="CB19" s="291"/>
      <c r="CC19" s="291"/>
      <c r="CD19" s="291"/>
      <c r="CE19" s="291"/>
      <c r="CF19" s="291"/>
      <c r="CG19" s="291"/>
      <c r="CH19" s="291"/>
      <c r="CI19" s="291"/>
      <c r="CJ19" s="291"/>
      <c r="CK19" s="291"/>
      <c r="CL19" s="291"/>
      <c r="CM19" s="291"/>
      <c r="CN19" s="291"/>
      <c r="CO19" s="291"/>
      <c r="CP19" s="291"/>
      <c r="CQ19" s="291"/>
      <c r="CR19" s="291"/>
      <c r="CS19" s="291"/>
      <c r="CT19" s="291"/>
      <c r="CU19" s="291"/>
      <c r="CV19" s="291"/>
      <c r="CW19" s="291"/>
      <c r="CX19" s="291"/>
      <c r="CY19" s="291"/>
      <c r="CZ19" s="291"/>
      <c r="DA19" s="291"/>
      <c r="DB19" s="291"/>
      <c r="DC19" s="291"/>
      <c r="DD19" s="291"/>
      <c r="DE19" s="291"/>
      <c r="DF19" s="291"/>
      <c r="DG19" s="291"/>
      <c r="DH19" s="291"/>
      <c r="DI19" s="291"/>
      <c r="DJ19" s="291"/>
      <c r="DK19" s="291"/>
      <c r="DL19" s="291"/>
      <c r="DM19" s="291"/>
      <c r="DN19" s="291"/>
      <c r="DO19" s="291"/>
      <c r="DP19" s="291"/>
      <c r="DQ19" s="291"/>
      <c r="DR19" s="291"/>
      <c r="DS19" s="291"/>
      <c r="DT19" s="291"/>
      <c r="DU19" s="291"/>
      <c r="DV19" s="291"/>
      <c r="DW19" s="291"/>
      <c r="DX19" s="291"/>
      <c r="DY19" s="291"/>
      <c r="DZ19" s="291"/>
      <c r="EA19" s="291"/>
      <c r="EB19" s="291"/>
      <c r="EC19" s="291"/>
      <c r="ED19" s="291"/>
      <c r="EE19" s="291"/>
      <c r="EF19" s="291"/>
      <c r="EG19" s="291"/>
      <c r="EH19" s="291"/>
      <c r="EI19" s="291"/>
      <c r="EJ19" s="291"/>
      <c r="EK19" s="291"/>
      <c r="EL19" s="291"/>
      <c r="EM19" s="291"/>
      <c r="EN19" s="291"/>
      <c r="EO19" s="291"/>
      <c r="EP19" s="291"/>
      <c r="EQ19" s="291"/>
      <c r="ER19" s="291"/>
      <c r="ES19" s="291"/>
      <c r="ET19" s="291"/>
      <c r="EU19" s="291"/>
      <c r="EV19" s="291"/>
      <c r="EW19" s="291"/>
      <c r="EX19" s="291"/>
      <c r="EY19" s="291"/>
      <c r="EZ19" s="291"/>
      <c r="FA19" s="291"/>
      <c r="FB19" s="291"/>
      <c r="FC19" s="291"/>
      <c r="FD19" s="291"/>
      <c r="FE19" s="291"/>
      <c r="FF19" s="291"/>
      <c r="FG19" s="291"/>
      <c r="FH19" s="291"/>
      <c r="FI19" s="291"/>
      <c r="FJ19" s="291"/>
      <c r="FK19" s="291"/>
      <c r="FL19" s="291"/>
      <c r="FM19" s="291"/>
      <c r="FN19" s="291"/>
      <c r="FO19" s="291"/>
      <c r="FP19" s="291"/>
      <c r="FQ19" s="291"/>
      <c r="FR19" s="291"/>
      <c r="FS19" s="291"/>
      <c r="FT19" s="291"/>
      <c r="FU19" s="291"/>
      <c r="FV19" s="291"/>
      <c r="FW19" s="291"/>
      <c r="FX19" s="291"/>
      <c r="FY19" s="291"/>
      <c r="FZ19" s="291"/>
      <c r="GA19" s="291"/>
      <c r="GB19" s="291"/>
      <c r="GC19" s="291"/>
      <c r="GD19" s="291"/>
      <c r="GE19" s="291"/>
      <c r="GF19" s="291"/>
      <c r="GG19" s="291"/>
      <c r="GH19" s="291"/>
      <c r="GI19" s="291"/>
      <c r="GJ19" s="291"/>
      <c r="GK19" s="291"/>
      <c r="GL19" s="291"/>
      <c r="GM19" s="291"/>
      <c r="GN19" s="291"/>
      <c r="GO19" s="291"/>
      <c r="GP19" s="291"/>
      <c r="GQ19" s="291"/>
      <c r="GR19" s="291"/>
      <c r="GS19" s="291"/>
      <c r="GT19" s="291"/>
      <c r="GU19" s="291"/>
      <c r="GV19" s="291"/>
      <c r="GW19" s="291"/>
      <c r="GX19" s="291"/>
      <c r="GY19" s="291"/>
      <c r="GZ19" s="291"/>
      <c r="HA19" s="291"/>
      <c r="HB19" s="291"/>
      <c r="HC19" s="291"/>
      <c r="HD19" s="291"/>
      <c r="HE19" s="291"/>
      <c r="HF19" s="291"/>
      <c r="HG19" s="291"/>
      <c r="HH19" s="291"/>
      <c r="HI19" s="291"/>
      <c r="HJ19" s="291"/>
      <c r="HK19" s="291"/>
      <c r="HL19" s="291"/>
      <c r="HM19" s="291"/>
      <c r="HN19" s="291"/>
      <c r="HO19" s="291"/>
      <c r="HP19" s="291"/>
      <c r="HQ19" s="291"/>
      <c r="HR19" s="291"/>
      <c r="HS19" s="291"/>
      <c r="HT19" s="291"/>
      <c r="HU19" s="291"/>
      <c r="HV19" s="291"/>
      <c r="HW19" s="291"/>
      <c r="HX19" s="291"/>
      <c r="HY19" s="291"/>
      <c r="HZ19" s="291"/>
      <c r="IA19" s="291"/>
      <c r="IB19" s="291"/>
      <c r="IC19" s="291"/>
      <c r="ID19" s="291"/>
      <c r="IE19" s="291"/>
      <c r="IF19" s="291"/>
      <c r="IG19" s="291"/>
      <c r="IH19" s="291"/>
      <c r="II19" s="291"/>
      <c r="IJ19" s="291"/>
      <c r="IK19" s="291"/>
      <c r="IL19" s="291"/>
      <c r="IM19" s="291"/>
      <c r="IN19" s="291"/>
      <c r="IO19" s="291"/>
      <c r="IP19" s="291"/>
      <c r="IQ19" s="291"/>
      <c r="IR19" s="291"/>
      <c r="IS19" s="291"/>
      <c r="IT19" s="291"/>
      <c r="IU19" s="291"/>
      <c r="IV19" s="291"/>
      <c r="IW19" s="291"/>
    </row>
    <row r="20" customFormat="false" ht="9.75" hidden="false" customHeight="true" outlineLevel="0" collapsed="false">
      <c r="A20" s="313"/>
      <c r="B20" s="314"/>
      <c r="C20" s="314"/>
      <c r="D20" s="314"/>
      <c r="E20" s="314"/>
      <c r="F20" s="314"/>
      <c r="G20" s="315"/>
    </row>
    <row r="21" customFormat="false" ht="25.5" hidden="false" customHeight="false" outlineLevel="0" collapsed="false">
      <c r="A21" s="316" t="s">
        <v>124</v>
      </c>
      <c r="B21" s="316"/>
      <c r="C21" s="316"/>
      <c r="D21" s="316"/>
      <c r="E21" s="316"/>
      <c r="F21" s="316"/>
      <c r="G21" s="317"/>
    </row>
    <row r="22" customFormat="false" ht="12.75" hidden="false" customHeight="true" outlineLevel="0" collapsed="false">
      <c r="A22" s="318"/>
      <c r="B22" s="319"/>
      <c r="C22" s="319"/>
      <c r="D22" s="319"/>
      <c r="E22" s="319"/>
      <c r="F22" s="319" t="s">
        <v>108</v>
      </c>
      <c r="G22" s="320" t="n">
        <v>1.2</v>
      </c>
    </row>
    <row r="23" customFormat="false" ht="23.25" hidden="false" customHeight="false" outlineLevel="0" collapsed="false">
      <c r="A23" s="321" t="s">
        <v>80</v>
      </c>
      <c r="B23" s="322" t="s">
        <v>100</v>
      </c>
      <c r="C23" s="322" t="s">
        <v>101</v>
      </c>
      <c r="D23" s="322" t="s">
        <v>125</v>
      </c>
      <c r="E23" s="322" t="s">
        <v>121</v>
      </c>
      <c r="F23" s="323"/>
      <c r="G23" s="324" t="s">
        <v>109</v>
      </c>
    </row>
    <row r="24" customFormat="false" ht="26.25" hidden="false" customHeight="true" outlineLevel="0" collapsed="false">
      <c r="A24" s="325" t="n">
        <f aca="false">A3</f>
        <v>500</v>
      </c>
      <c r="B24" s="326" t="n">
        <f aca="false">B3</f>
        <v>200</v>
      </c>
      <c r="C24" s="327" t="n">
        <v>1</v>
      </c>
      <c r="D24" s="327" t="n">
        <v>50</v>
      </c>
      <c r="E24" s="328"/>
      <c r="F24" s="240" t="s">
        <v>126</v>
      </c>
      <c r="G24" s="329" t="n">
        <v>37</v>
      </c>
    </row>
    <row r="25" customFormat="false" ht="26.25" hidden="false" customHeight="true" outlineLevel="0" collapsed="false">
      <c r="A25" s="330" t="n">
        <f aca="false">A8</f>
        <v>500</v>
      </c>
      <c r="B25" s="331" t="n">
        <f aca="false">B8</f>
        <v>200</v>
      </c>
      <c r="C25" s="332" t="n">
        <v>1</v>
      </c>
      <c r="D25" s="332" t="n">
        <v>50</v>
      </c>
      <c r="E25" s="333"/>
      <c r="F25" s="334" t="s">
        <v>127</v>
      </c>
      <c r="G25" s="335" t="n">
        <v>37</v>
      </c>
      <c r="I25" s="336"/>
      <c r="L25" s="336"/>
    </row>
    <row r="26" customFormat="false" ht="23.25" hidden="false" customHeight="false" outlineLevel="0" collapsed="false">
      <c r="A26" s="337" t="n">
        <f aca="false">A3</f>
        <v>500</v>
      </c>
      <c r="B26" s="338" t="n">
        <f aca="false">B15</f>
        <v>150</v>
      </c>
      <c r="C26" s="339" t="n">
        <v>1</v>
      </c>
      <c r="D26" s="340" t="n">
        <v>50</v>
      </c>
      <c r="E26" s="341"/>
      <c r="F26" s="342" t="s">
        <v>128</v>
      </c>
      <c r="G26" s="343" t="n">
        <v>39</v>
      </c>
    </row>
    <row r="27" customFormat="false" ht="25.5" hidden="false" customHeight="false" outlineLevel="0" collapsed="false">
      <c r="A27" s="344" t="n">
        <f aca="false">(A24+B24)*2</f>
        <v>1400</v>
      </c>
      <c r="B27" s="319" t="n">
        <f aca="false">A27*D24*C24*8/1000000</f>
        <v>0.56</v>
      </c>
      <c r="C27" s="345" t="n">
        <f aca="false">B27*G24*3</f>
        <v>62.16</v>
      </c>
      <c r="D27" s="345"/>
      <c r="E27" s="346"/>
      <c r="F27" s="319"/>
      <c r="G27" s="347"/>
    </row>
    <row r="28" customFormat="false" ht="25.5" hidden="false" customHeight="false" outlineLevel="0" collapsed="false">
      <c r="A28" s="344" t="n">
        <f aca="false">(A25+B25)*2</f>
        <v>1400</v>
      </c>
      <c r="B28" s="319" t="n">
        <f aca="false">A28*D25*C25*8/1000000</f>
        <v>0.56</v>
      </c>
      <c r="C28" s="348" t="n">
        <f aca="false">B28*G25*3</f>
        <v>62.16</v>
      </c>
      <c r="D28" s="348"/>
      <c r="E28" s="346"/>
      <c r="F28" s="319"/>
      <c r="G28" s="347"/>
    </row>
    <row r="29" customFormat="false" ht="26.25" hidden="false" customHeight="false" outlineLevel="0" collapsed="false">
      <c r="A29" s="349" t="n">
        <f aca="false">(A26+B26)*2</f>
        <v>1300</v>
      </c>
      <c r="B29" s="350" t="n">
        <f aca="false">A29*D26*C26*8/1000000</f>
        <v>0.52</v>
      </c>
      <c r="C29" s="351" t="n">
        <f aca="false">B29*G26*3</f>
        <v>60.84</v>
      </c>
      <c r="D29" s="351"/>
      <c r="E29" s="352"/>
      <c r="F29" s="352"/>
      <c r="G29" s="353"/>
    </row>
  </sheetData>
  <mergeCells count="27">
    <mergeCell ref="A1:G1"/>
    <mergeCell ref="I1:K1"/>
    <mergeCell ref="L1:M1"/>
    <mergeCell ref="O1:Q1"/>
    <mergeCell ref="R1:S1"/>
    <mergeCell ref="L2:M2"/>
    <mergeCell ref="R2:S2"/>
    <mergeCell ref="L3:M3"/>
    <mergeCell ref="R3:S3"/>
    <mergeCell ref="L4:M4"/>
    <mergeCell ref="R4:S4"/>
    <mergeCell ref="E5:F5"/>
    <mergeCell ref="A6:G6"/>
    <mergeCell ref="D9:E9"/>
    <mergeCell ref="F10:G10"/>
    <mergeCell ref="F11:G12"/>
    <mergeCell ref="I12:K14"/>
    <mergeCell ref="L12:M14"/>
    <mergeCell ref="A13:G13"/>
    <mergeCell ref="I15:K15"/>
    <mergeCell ref="L15:M15"/>
    <mergeCell ref="D16:E16"/>
    <mergeCell ref="A21:F21"/>
    <mergeCell ref="C27:D27"/>
    <mergeCell ref="C28:D28"/>
    <mergeCell ref="C29:D29"/>
    <mergeCell ref="E29:F29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00"/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9.28125" defaultRowHeight="12.75" customHeight="false" zeroHeight="false" outlineLevelRow="0" outlineLevelCol="0"/>
  <cols>
    <col collapsed="false" customWidth="false" hidden="false" outlineLevel="0" max="1" min="1" style="354" width="9.28"/>
    <col collapsed="false" customWidth="true" hidden="false" outlineLevel="0" max="2" min="2" style="354" width="4.99"/>
    <col collapsed="false" customWidth="true" hidden="false" outlineLevel="0" max="3" min="3" style="354" width="10.56"/>
    <col collapsed="false" customWidth="true" hidden="false" outlineLevel="0" max="4" min="4" style="354" width="6.28"/>
    <col collapsed="false" customWidth="false" hidden="false" outlineLevel="0" max="6" min="5" style="354" width="9.28"/>
    <col collapsed="false" customWidth="true" hidden="false" outlineLevel="0" max="8" min="7" style="354" width="10.41"/>
    <col collapsed="false" customWidth="false" hidden="false" outlineLevel="0" max="9" min="9" style="354" width="9.28"/>
    <col collapsed="false" customWidth="true" hidden="false" outlineLevel="0" max="10" min="10" style="354" width="2.7"/>
    <col collapsed="false" customWidth="false" hidden="false" outlineLevel="0" max="12" min="11" style="354" width="9.28"/>
    <col collapsed="false" customWidth="true" hidden="false" outlineLevel="0" max="13" min="13" style="354" width="9.99"/>
    <col collapsed="false" customWidth="false" hidden="false" outlineLevel="0" max="257" min="14" style="354" width="9.28"/>
  </cols>
  <sheetData>
    <row r="1" customFormat="false" ht="30" hidden="false" customHeight="false" outlineLevel="0" collapsed="false">
      <c r="A1" s="355" t="s">
        <v>129</v>
      </c>
      <c r="B1" s="355"/>
      <c r="C1" s="355"/>
      <c r="D1" s="355"/>
      <c r="E1" s="355"/>
      <c r="F1" s="355"/>
      <c r="G1" s="355"/>
      <c r="H1" s="355"/>
      <c r="I1" s="355"/>
      <c r="K1" s="356" t="s">
        <v>130</v>
      </c>
      <c r="L1" s="357"/>
      <c r="M1" s="357"/>
    </row>
    <row r="2" customFormat="false" ht="18.75" hidden="false" customHeight="true" outlineLevel="0" collapsed="false">
      <c r="A2" s="358" t="s">
        <v>34</v>
      </c>
      <c r="B2" s="359"/>
      <c r="C2" s="360" t="n">
        <v>1850</v>
      </c>
      <c r="D2" s="360" t="s">
        <v>131</v>
      </c>
      <c r="E2" s="360" t="n">
        <v>400</v>
      </c>
      <c r="F2" s="361"/>
      <c r="G2" s="362" t="s">
        <v>132</v>
      </c>
      <c r="H2" s="362"/>
      <c r="I2" s="363"/>
      <c r="K2" s="357" t="s">
        <v>133</v>
      </c>
      <c r="L2" s="357" t="s">
        <v>134</v>
      </c>
      <c r="M2" s="364" t="n">
        <v>89</v>
      </c>
    </row>
    <row r="3" customFormat="false" ht="15.75" hidden="false" customHeight="true" outlineLevel="0" collapsed="false">
      <c r="A3" s="365"/>
      <c r="B3" s="361"/>
      <c r="C3" s="361"/>
      <c r="D3" s="361"/>
      <c r="E3" s="366" t="s">
        <v>64</v>
      </c>
      <c r="F3" s="367"/>
      <c r="G3" s="368" t="s">
        <v>82</v>
      </c>
      <c r="H3" s="368" t="s">
        <v>36</v>
      </c>
      <c r="I3" s="363"/>
      <c r="K3" s="357" t="s">
        <v>133</v>
      </c>
      <c r="L3" s="369" t="s">
        <v>135</v>
      </c>
      <c r="M3" s="364" t="n">
        <v>56</v>
      </c>
    </row>
    <row r="4" customFormat="false" ht="15.75" hidden="false" customHeight="true" outlineLevel="0" collapsed="false">
      <c r="A4" s="365"/>
      <c r="B4" s="361"/>
      <c r="C4" s="370" t="n">
        <f aca="false">C2+96</f>
        <v>1946</v>
      </c>
      <c r="D4" s="371" t="s">
        <v>136</v>
      </c>
      <c r="E4" s="370" t="n">
        <f aca="false">E2+96</f>
        <v>496</v>
      </c>
      <c r="F4" s="367"/>
      <c r="G4" s="368" t="n">
        <v>1</v>
      </c>
      <c r="H4" s="372" t="n">
        <v>37</v>
      </c>
      <c r="I4" s="373"/>
      <c r="K4" s="357" t="s">
        <v>137</v>
      </c>
      <c r="L4" s="357" t="s">
        <v>134</v>
      </c>
      <c r="M4" s="364" t="n">
        <v>45</v>
      </c>
    </row>
    <row r="5" customFormat="false" ht="15.75" hidden="false" customHeight="true" outlineLevel="0" collapsed="false">
      <c r="A5" s="365"/>
      <c r="B5" s="361"/>
      <c r="C5" s="361"/>
      <c r="D5" s="361"/>
      <c r="E5" s="361"/>
      <c r="F5" s="361"/>
      <c r="G5" s="374" t="s">
        <v>64</v>
      </c>
      <c r="H5" s="375"/>
      <c r="I5" s="373"/>
    </row>
    <row r="6" customFormat="false" ht="23.25" hidden="false" customHeight="false" outlineLevel="0" collapsed="false">
      <c r="A6" s="365" t="n">
        <f aca="false">C4*E4*G4*8/1000000</f>
        <v>7.721728</v>
      </c>
      <c r="B6" s="361" t="s">
        <v>108</v>
      </c>
      <c r="C6" s="376" t="n">
        <f aca="false">A6*H4*F6</f>
        <v>857.111808</v>
      </c>
      <c r="D6" s="376"/>
      <c r="E6" s="376"/>
      <c r="F6" s="361" t="n">
        <v>3</v>
      </c>
      <c r="G6" s="377"/>
      <c r="H6" s="377"/>
      <c r="I6" s="373"/>
    </row>
    <row r="7" customFormat="false" ht="15.75" hidden="false" customHeight="true" outlineLevel="0" collapsed="false">
      <c r="A7" s="365"/>
      <c r="B7" s="361"/>
      <c r="C7" s="361"/>
      <c r="D7" s="361"/>
      <c r="E7" s="361"/>
      <c r="F7" s="361"/>
      <c r="G7" s="377"/>
      <c r="H7" s="377"/>
      <c r="I7" s="373"/>
      <c r="K7" s="378"/>
      <c r="L7" s="378"/>
      <c r="M7" s="378"/>
    </row>
    <row r="8" customFormat="false" ht="15.75" hidden="false" customHeight="true" outlineLevel="0" collapsed="false">
      <c r="A8" s="365"/>
      <c r="B8" s="361"/>
      <c r="C8" s="361"/>
      <c r="D8" s="361"/>
      <c r="E8" s="361"/>
      <c r="F8" s="361"/>
      <c r="G8" s="377"/>
      <c r="H8" s="377"/>
      <c r="I8" s="373"/>
      <c r="K8" s="378"/>
      <c r="L8" s="378"/>
      <c r="M8" s="378"/>
    </row>
    <row r="9" customFormat="false" ht="12.75" hidden="false" customHeight="false" outlineLevel="0" collapsed="false">
      <c r="A9" s="379"/>
      <c r="B9" s="380"/>
      <c r="C9" s="380"/>
      <c r="D9" s="380"/>
      <c r="E9" s="381"/>
      <c r="F9" s="380"/>
      <c r="G9" s="382"/>
      <c r="H9" s="382"/>
      <c r="I9" s="383"/>
      <c r="K9" s="378"/>
      <c r="L9" s="378"/>
      <c r="M9" s="378"/>
    </row>
    <row r="11" customFormat="false" ht="27" hidden="false" customHeight="false" outlineLevel="0" collapsed="false">
      <c r="A11" s="355" t="s">
        <v>138</v>
      </c>
      <c r="B11" s="355"/>
      <c r="C11" s="355"/>
      <c r="D11" s="355"/>
      <c r="E11" s="355"/>
      <c r="F11" s="355"/>
      <c r="G11" s="355"/>
      <c r="H11" s="355"/>
      <c r="I11" s="355"/>
      <c r="K11" s="384" t="s">
        <v>139</v>
      </c>
    </row>
    <row r="12" customFormat="false" ht="18" hidden="false" customHeight="true" outlineLevel="0" collapsed="false">
      <c r="A12" s="358" t="s">
        <v>34</v>
      </c>
      <c r="B12" s="359"/>
      <c r="C12" s="360" t="n">
        <f aca="false">C2</f>
        <v>1850</v>
      </c>
      <c r="D12" s="360" t="s">
        <v>131</v>
      </c>
      <c r="E12" s="385" t="n">
        <f aca="false">E2</f>
        <v>400</v>
      </c>
      <c r="F12" s="361"/>
      <c r="G12" s="386" t="s">
        <v>132</v>
      </c>
      <c r="H12" s="386"/>
      <c r="I12" s="363"/>
      <c r="K12" s="387" t="s">
        <v>140</v>
      </c>
      <c r="L12" s="387"/>
      <c r="M12" s="387"/>
    </row>
    <row r="13" customFormat="false" ht="12.75" hidden="false" customHeight="false" outlineLevel="0" collapsed="false">
      <c r="A13" s="365"/>
      <c r="B13" s="361"/>
      <c r="C13" s="361"/>
      <c r="D13" s="361"/>
      <c r="E13" s="361"/>
      <c r="F13" s="367"/>
      <c r="G13" s="368" t="s">
        <v>82</v>
      </c>
      <c r="H13" s="368" t="s">
        <v>36</v>
      </c>
      <c r="I13" s="363"/>
      <c r="K13" s="387"/>
      <c r="L13" s="387"/>
      <c r="M13" s="387"/>
    </row>
    <row r="14" customFormat="false" ht="12.75" hidden="false" customHeight="false" outlineLevel="0" collapsed="false">
      <c r="A14" s="388" t="n">
        <f aca="false">C12/100+1</f>
        <v>19.5</v>
      </c>
      <c r="B14" s="389"/>
      <c r="C14" s="389" t="n">
        <f aca="false">110*E12*G14*8/1000000*A14</f>
        <v>6.864</v>
      </c>
      <c r="D14" s="371" t="n">
        <f aca="false">C14+C15</f>
        <v>10.12</v>
      </c>
      <c r="E14" s="371"/>
      <c r="F14" s="367"/>
      <c r="G14" s="368" t="n">
        <v>1</v>
      </c>
      <c r="H14" s="372" t="n">
        <v>37</v>
      </c>
      <c r="I14" s="373"/>
      <c r="K14" s="387"/>
      <c r="L14" s="387"/>
      <c r="M14" s="387"/>
    </row>
    <row r="15" customFormat="false" ht="12.75" hidden="false" customHeight="false" outlineLevel="0" collapsed="false">
      <c r="A15" s="388" t="n">
        <v>2</v>
      </c>
      <c r="B15" s="389"/>
      <c r="C15" s="389" t="n">
        <f aca="false">110*C12*G14*8/1000000*A15</f>
        <v>3.256</v>
      </c>
      <c r="D15" s="371"/>
      <c r="E15" s="371"/>
      <c r="F15" s="367"/>
      <c r="G15" s="368"/>
      <c r="H15" s="372"/>
      <c r="I15" s="373"/>
    </row>
    <row r="16" customFormat="false" ht="12.75" hidden="false" customHeight="false" outlineLevel="0" collapsed="false">
      <c r="A16" s="365"/>
      <c r="B16" s="361"/>
      <c r="C16" s="361"/>
      <c r="D16" s="361"/>
      <c r="E16" s="361"/>
      <c r="F16" s="361"/>
      <c r="G16" s="375"/>
      <c r="H16" s="375" t="n">
        <v>5</v>
      </c>
      <c r="I16" s="373"/>
    </row>
    <row r="17" customFormat="false" ht="23.25" hidden="false" customHeight="false" outlineLevel="0" collapsed="false">
      <c r="A17" s="365"/>
      <c r="B17" s="361"/>
      <c r="C17" s="390" t="n">
        <f aca="false">D14*H14*3</f>
        <v>1123.32</v>
      </c>
      <c r="D17" s="390"/>
      <c r="E17" s="390"/>
      <c r="F17" s="361"/>
      <c r="G17" s="377"/>
      <c r="H17" s="377"/>
      <c r="I17" s="373"/>
    </row>
    <row r="18" customFormat="false" ht="12.75" hidden="false" customHeight="false" outlineLevel="0" collapsed="false">
      <c r="A18" s="365"/>
      <c r="B18" s="361"/>
      <c r="C18" s="361"/>
      <c r="D18" s="361"/>
      <c r="E18" s="361"/>
      <c r="F18" s="361"/>
      <c r="G18" s="377"/>
      <c r="H18" s="377"/>
      <c r="I18" s="373"/>
    </row>
    <row r="19" customFormat="false" ht="12.75" hidden="false" customHeight="false" outlineLevel="0" collapsed="false">
      <c r="A19" s="365"/>
      <c r="B19" s="361"/>
      <c r="C19" s="361"/>
      <c r="D19" s="361"/>
      <c r="E19" s="361"/>
      <c r="F19" s="361"/>
      <c r="G19" s="377"/>
      <c r="H19" s="377"/>
      <c r="I19" s="373"/>
    </row>
    <row r="20" customFormat="false" ht="12.75" hidden="false" customHeight="false" outlineLevel="0" collapsed="false">
      <c r="A20" s="379"/>
      <c r="B20" s="380"/>
      <c r="C20" s="380"/>
      <c r="D20" s="380"/>
      <c r="E20" s="381"/>
      <c r="F20" s="380"/>
      <c r="G20" s="382"/>
      <c r="H20" s="382"/>
      <c r="I20" s="383"/>
    </row>
    <row r="24" customFormat="false" ht="12.75" hidden="false" customHeight="false" outlineLevel="0" collapsed="false">
      <c r="D24" s="354" t="s">
        <v>14</v>
      </c>
    </row>
  </sheetData>
  <mergeCells count="11">
    <mergeCell ref="A1:I1"/>
    <mergeCell ref="G2:H2"/>
    <mergeCell ref="C6:E6"/>
    <mergeCell ref="K7:M9"/>
    <mergeCell ref="A11:I11"/>
    <mergeCell ref="G12:H12"/>
    <mergeCell ref="K12:M14"/>
    <mergeCell ref="D14:E15"/>
    <mergeCell ref="G14:G15"/>
    <mergeCell ref="H14:H15"/>
    <mergeCell ref="C17:E17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CCCC"/>
    <pageSetUpPr fitToPage="false"/>
  </sheetPr>
  <dimension ref="A1:IW25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17" activeCellId="0" sqref="D17:F17"/>
    </sheetView>
  </sheetViews>
  <sheetFormatPr defaultColWidth="13.70703125" defaultRowHeight="12.75" customHeight="false" zeroHeight="false" outlineLevelRow="0" outlineLevelCol="0"/>
  <cols>
    <col collapsed="false" customWidth="false" hidden="false" outlineLevel="0" max="9" min="1" style="164" width="13.7"/>
    <col collapsed="false" customWidth="true" hidden="false" outlineLevel="0" max="10" min="10" style="164" width="15.7"/>
    <col collapsed="false" customWidth="false" hidden="false" outlineLevel="0" max="257" min="11" style="164" width="13.7"/>
  </cols>
  <sheetData>
    <row r="1" customFormat="false" ht="20.25" hidden="false" customHeight="false" outlineLevel="0" collapsed="false">
      <c r="A1" s="391" t="s">
        <v>141</v>
      </c>
      <c r="B1" s="391"/>
      <c r="C1" s="391"/>
      <c r="D1" s="391"/>
      <c r="E1" s="391"/>
      <c r="F1" s="392" t="s">
        <v>142</v>
      </c>
      <c r="G1" s="392"/>
      <c r="H1" s="392"/>
      <c r="I1" s="392"/>
    </row>
    <row r="2" customFormat="false" ht="19.5" hidden="false" customHeight="true" outlineLevel="0" collapsed="false">
      <c r="A2" s="393" t="s">
        <v>143</v>
      </c>
      <c r="B2" s="393" t="s">
        <v>136</v>
      </c>
      <c r="C2" s="393" t="s">
        <v>144</v>
      </c>
      <c r="D2" s="394"/>
      <c r="E2" s="394"/>
      <c r="F2" s="395" t="s">
        <v>145</v>
      </c>
      <c r="G2" s="396" t="n">
        <v>900</v>
      </c>
      <c r="H2" s="397"/>
      <c r="I2" s="398"/>
      <c r="J2" s="399" t="s">
        <v>146</v>
      </c>
      <c r="K2" s="399"/>
    </row>
    <row r="3" customFormat="false" ht="26.25" hidden="false" customHeight="false" outlineLevel="0" collapsed="false">
      <c r="A3" s="400" t="n">
        <v>600</v>
      </c>
      <c r="B3" s="401" t="s">
        <v>131</v>
      </c>
      <c r="C3" s="402" t="n">
        <v>400</v>
      </c>
      <c r="D3" s="403" t="s">
        <v>147</v>
      </c>
      <c r="E3" s="403"/>
      <c r="F3" s="404" t="s">
        <v>148</v>
      </c>
      <c r="G3" s="405" t="n">
        <f aca="false">G2*4</f>
        <v>3600</v>
      </c>
      <c r="H3" s="406" t="s">
        <v>149</v>
      </c>
      <c r="I3" s="406" t="s">
        <v>36</v>
      </c>
      <c r="J3" s="399"/>
      <c r="K3" s="399"/>
    </row>
    <row r="4" customFormat="false" ht="13.5" hidden="false" customHeight="true" outlineLevel="0" collapsed="false">
      <c r="A4" s="407" t="n">
        <f aca="false">A3+110</f>
        <v>710</v>
      </c>
      <c r="B4" s="407" t="s">
        <v>136</v>
      </c>
      <c r="C4" s="407" t="n">
        <f aca="false">C3+110</f>
        <v>510</v>
      </c>
      <c r="D4" s="408" t="s">
        <v>82</v>
      </c>
      <c r="E4" s="408" t="s">
        <v>36</v>
      </c>
      <c r="F4" s="409" t="n">
        <f aca="false">(G3*I4*2.5/1000)+(10.5*4)</f>
        <v>460.5</v>
      </c>
      <c r="G4" s="409"/>
      <c r="H4" s="410" t="s">
        <v>150</v>
      </c>
      <c r="I4" s="411" t="n">
        <v>46.5</v>
      </c>
      <c r="J4" s="399"/>
      <c r="K4" s="399"/>
    </row>
    <row r="5" customFormat="false" ht="13.5" hidden="false" customHeight="true" outlineLevel="0" collapsed="false">
      <c r="A5" s="412" t="n">
        <f aca="false">A4*C4*D5*8/1000000</f>
        <v>2.8968</v>
      </c>
      <c r="B5" s="412"/>
      <c r="C5" s="412"/>
      <c r="D5" s="413" t="n">
        <v>1</v>
      </c>
      <c r="E5" s="414" t="n">
        <v>37</v>
      </c>
      <c r="F5" s="404" t="s">
        <v>151</v>
      </c>
      <c r="G5" s="405" t="n">
        <f aca="false">$G$2*5</f>
        <v>4500</v>
      </c>
      <c r="H5" s="404" t="s">
        <v>152</v>
      </c>
      <c r="I5" s="415" t="n">
        <f aca="false">$G$2*6</f>
        <v>5400</v>
      </c>
      <c r="J5" s="399"/>
      <c r="K5" s="399"/>
    </row>
    <row r="6" customFormat="false" ht="13.5" hidden="false" customHeight="true" outlineLevel="0" collapsed="false">
      <c r="A6" s="416"/>
      <c r="B6" s="416"/>
      <c r="C6" s="416"/>
      <c r="D6" s="394"/>
      <c r="E6" s="394"/>
      <c r="F6" s="417" t="n">
        <f aca="false">(G5*$I$4*2.5/1000)+(10.5*5)</f>
        <v>575.625</v>
      </c>
      <c r="G6" s="417"/>
      <c r="H6" s="417" t="n">
        <f aca="false">(I5*$I$4*2.5/1000)+(10.5*5)</f>
        <v>680.25</v>
      </c>
      <c r="I6" s="417"/>
      <c r="J6" s="399"/>
      <c r="K6" s="399"/>
    </row>
    <row r="7" customFormat="false" ht="19.5" hidden="false" customHeight="false" outlineLevel="0" collapsed="false">
      <c r="A7" s="418" t="n">
        <f aca="false">A5*E5*E7</f>
        <v>321.5448</v>
      </c>
      <c r="B7" s="418"/>
      <c r="C7" s="418"/>
      <c r="D7" s="419" t="s">
        <v>153</v>
      </c>
      <c r="E7" s="420" t="n">
        <v>3</v>
      </c>
      <c r="F7" s="421"/>
      <c r="G7" s="422" t="s">
        <v>43</v>
      </c>
      <c r="H7" s="423"/>
      <c r="I7" s="421" t="s">
        <v>64</v>
      </c>
      <c r="J7" s="424"/>
      <c r="K7" s="164" t="n">
        <v>1</v>
      </c>
    </row>
    <row r="8" customFormat="false" ht="13.5" hidden="false" customHeight="true" outlineLevel="0" collapsed="false">
      <c r="A8" s="164" t="n">
        <v>0</v>
      </c>
      <c r="J8" s="424"/>
    </row>
    <row r="9" customFormat="false" ht="20.25" hidden="false" customHeight="false" outlineLevel="0" collapsed="false">
      <c r="A9" s="425" t="s">
        <v>154</v>
      </c>
      <c r="B9" s="425"/>
      <c r="C9" s="425"/>
      <c r="D9" s="426" t="s">
        <v>155</v>
      </c>
      <c r="E9" s="426"/>
      <c r="F9" s="426"/>
      <c r="G9" s="427" t="s">
        <v>156</v>
      </c>
      <c r="H9" s="427"/>
      <c r="I9" s="427"/>
      <c r="J9" s="428" t="s">
        <v>157</v>
      </c>
      <c r="K9" s="428"/>
      <c r="L9" s="428"/>
    </row>
    <row r="10" customFormat="false" ht="12.75" hidden="false" customHeight="true" outlineLevel="0" collapsed="false">
      <c r="A10" s="429"/>
      <c r="B10" s="429"/>
      <c r="C10" s="429"/>
      <c r="D10" s="430"/>
      <c r="E10" s="430"/>
      <c r="F10" s="430"/>
      <c r="G10" s="431"/>
      <c r="H10" s="431"/>
      <c r="I10" s="431"/>
      <c r="J10" s="432"/>
      <c r="K10" s="432"/>
      <c r="L10" s="432"/>
    </row>
    <row r="11" customFormat="false" ht="12.75" hidden="false" customHeight="true" outlineLevel="0" collapsed="false">
      <c r="A11" s="433" t="s">
        <v>143</v>
      </c>
      <c r="B11" s="433" t="s">
        <v>136</v>
      </c>
      <c r="C11" s="433" t="s">
        <v>144</v>
      </c>
      <c r="D11" s="434" t="s">
        <v>143</v>
      </c>
      <c r="E11" s="434" t="s">
        <v>136</v>
      </c>
      <c r="F11" s="434" t="s">
        <v>144</v>
      </c>
      <c r="G11" s="435" t="s">
        <v>143</v>
      </c>
      <c r="H11" s="435" t="s">
        <v>136</v>
      </c>
      <c r="I11" s="435" t="s">
        <v>144</v>
      </c>
      <c r="J11" s="436" t="s">
        <v>143</v>
      </c>
      <c r="K11" s="436" t="s">
        <v>136</v>
      </c>
      <c r="L11" s="436" t="s">
        <v>144</v>
      </c>
    </row>
    <row r="12" customFormat="false" ht="18.75" hidden="false" customHeight="true" outlineLevel="0" collapsed="false">
      <c r="A12" s="437" t="n">
        <f aca="false">A3</f>
        <v>600</v>
      </c>
      <c r="B12" s="438" t="s">
        <v>136</v>
      </c>
      <c r="C12" s="437" t="n">
        <f aca="false">C3</f>
        <v>400</v>
      </c>
      <c r="D12" s="439" t="n">
        <f aca="false">A3</f>
        <v>600</v>
      </c>
      <c r="E12" s="440" t="s">
        <v>136</v>
      </c>
      <c r="F12" s="439" t="n">
        <f aca="false">C3</f>
        <v>400</v>
      </c>
      <c r="G12" s="441" t="n">
        <f aca="false">A3</f>
        <v>600</v>
      </c>
      <c r="H12" s="442" t="s">
        <v>136</v>
      </c>
      <c r="I12" s="441" t="n">
        <f aca="false">C3</f>
        <v>400</v>
      </c>
      <c r="J12" s="443" t="n">
        <f aca="false">A3</f>
        <v>600</v>
      </c>
      <c r="K12" s="444" t="s">
        <v>136</v>
      </c>
      <c r="L12" s="443" t="n">
        <f aca="false">C3</f>
        <v>400</v>
      </c>
    </row>
    <row r="13" customFormat="false" ht="11.25" hidden="false" customHeight="true" outlineLevel="0" collapsed="false">
      <c r="A13" s="445" t="n">
        <f aca="false">A12</f>
        <v>600</v>
      </c>
      <c r="B13" s="445" t="s">
        <v>136</v>
      </c>
      <c r="C13" s="445" t="n">
        <f aca="false">C12*2</f>
        <v>800</v>
      </c>
      <c r="D13" s="446" t="n">
        <f aca="false">D12+80</f>
        <v>680</v>
      </c>
      <c r="E13" s="446" t="s">
        <v>136</v>
      </c>
      <c r="F13" s="446" t="n">
        <f aca="false">F12+80</f>
        <v>480</v>
      </c>
      <c r="G13" s="447" t="n">
        <f aca="false">G12/100+1</f>
        <v>7</v>
      </c>
      <c r="H13" s="447" t="n">
        <f aca="false">110*I12*G16*8/1000000*G13</f>
        <v>1.9712</v>
      </c>
      <c r="I13" s="448" t="n">
        <f aca="false">H13+H14</f>
        <v>2.816</v>
      </c>
      <c r="J13" s="449" t="n">
        <f aca="false">D12+80</f>
        <v>680</v>
      </c>
      <c r="K13" s="449" t="str">
        <f aca="false">E13</f>
        <v>X</v>
      </c>
      <c r="L13" s="449" t="n">
        <f aca="false">F12+80</f>
        <v>480</v>
      </c>
    </row>
    <row r="14" customFormat="false" ht="11.25" hidden="false" customHeight="true" outlineLevel="0" collapsed="false">
      <c r="A14" s="450" t="n">
        <f aca="false">(A13+C13)/1000</f>
        <v>1.4</v>
      </c>
      <c r="B14" s="450"/>
      <c r="C14" s="450"/>
      <c r="D14" s="451" t="n">
        <f aca="false">D13*F13*D16*8/1000000</f>
        <v>2.6112</v>
      </c>
      <c r="E14" s="451"/>
      <c r="F14" s="451"/>
      <c r="G14" s="447" t="n">
        <v>2</v>
      </c>
      <c r="H14" s="447" t="n">
        <f aca="false">110*G12*G16*8/1000000*G14</f>
        <v>0.8448</v>
      </c>
      <c r="I14" s="448"/>
      <c r="J14" s="452" t="n">
        <f aca="false">D13*F13*J16*8/1000000</f>
        <v>2.6112</v>
      </c>
      <c r="K14" s="452"/>
      <c r="L14" s="452"/>
    </row>
    <row r="15" customFormat="false" ht="12.75" hidden="false" customHeight="false" outlineLevel="0" collapsed="false">
      <c r="A15" s="453" t="s">
        <v>149</v>
      </c>
      <c r="B15" s="454" t="s">
        <v>158</v>
      </c>
      <c r="C15" s="429"/>
      <c r="D15" s="455" t="s">
        <v>159</v>
      </c>
      <c r="E15" s="456" t="s">
        <v>158</v>
      </c>
      <c r="F15" s="430"/>
      <c r="G15" s="457" t="s">
        <v>159</v>
      </c>
      <c r="H15" s="458" t="s">
        <v>158</v>
      </c>
      <c r="I15" s="431"/>
      <c r="J15" s="459" t="s">
        <v>159</v>
      </c>
      <c r="K15" s="460" t="s">
        <v>158</v>
      </c>
      <c r="L15" s="432"/>
    </row>
    <row r="16" customFormat="false" ht="13.5" hidden="false" customHeight="false" outlineLevel="0" collapsed="false">
      <c r="A16" s="461" t="s">
        <v>160</v>
      </c>
      <c r="B16" s="462" t="n">
        <v>46.5</v>
      </c>
      <c r="C16" s="429"/>
      <c r="D16" s="463" t="n">
        <v>1</v>
      </c>
      <c r="E16" s="464" t="n">
        <v>37</v>
      </c>
      <c r="F16" s="430"/>
      <c r="G16" s="465" t="n">
        <v>0.8</v>
      </c>
      <c r="H16" s="466" t="n">
        <v>36</v>
      </c>
      <c r="I16" s="431"/>
      <c r="J16" s="467" t="n">
        <v>1</v>
      </c>
      <c r="K16" s="468" t="n">
        <v>35</v>
      </c>
      <c r="L16" s="432"/>
    </row>
    <row r="17" customFormat="false" ht="19.5" hidden="false" customHeight="false" outlineLevel="0" collapsed="false">
      <c r="A17" s="469" t="n">
        <f aca="false">A14*B16*E7</f>
        <v>195.3</v>
      </c>
      <c r="B17" s="469"/>
      <c r="C17" s="469"/>
      <c r="D17" s="470" t="n">
        <f aca="false">D14*E16*E7</f>
        <v>289.8432</v>
      </c>
      <c r="E17" s="470"/>
      <c r="F17" s="470"/>
      <c r="G17" s="471" t="n">
        <f aca="false">I13*H16*E7</f>
        <v>304.128</v>
      </c>
      <c r="H17" s="471"/>
      <c r="I17" s="471"/>
      <c r="J17" s="472" t="n">
        <f aca="false">J14*K16*E7</f>
        <v>274.176</v>
      </c>
      <c r="K17" s="472"/>
      <c r="L17" s="472"/>
    </row>
    <row r="18" customFormat="false" ht="5.25" hidden="false" customHeight="true" outlineLevel="0" collapsed="false">
      <c r="A18" s="473"/>
      <c r="B18" s="473"/>
      <c r="C18" s="473"/>
      <c r="D18" s="473"/>
      <c r="E18" s="473"/>
      <c r="F18" s="473"/>
      <c r="G18" s="473"/>
      <c r="H18" s="473"/>
      <c r="I18" s="473"/>
      <c r="J18" s="473"/>
      <c r="K18" s="473"/>
      <c r="L18" s="473"/>
    </row>
    <row r="19" customFormat="false" ht="19.5" hidden="false" customHeight="false" outlineLevel="0" collapsed="false">
      <c r="A19" s="474" t="s">
        <v>161</v>
      </c>
      <c r="B19" s="474"/>
      <c r="C19" s="474"/>
      <c r="D19" s="475" t="s">
        <v>161</v>
      </c>
      <c r="E19" s="475"/>
      <c r="F19" s="475"/>
      <c r="G19" s="476" t="s">
        <v>161</v>
      </c>
      <c r="H19" s="476"/>
      <c r="I19" s="476"/>
      <c r="J19" s="477" t="s">
        <v>161</v>
      </c>
      <c r="K19" s="477"/>
      <c r="L19" s="477"/>
      <c r="M19" s="478"/>
      <c r="N19" s="478"/>
      <c r="O19" s="478"/>
      <c r="P19" s="478"/>
      <c r="Q19" s="478"/>
      <c r="R19" s="478"/>
      <c r="S19" s="478"/>
      <c r="T19" s="478"/>
      <c r="U19" s="478"/>
      <c r="V19" s="478"/>
      <c r="W19" s="478"/>
      <c r="X19" s="478"/>
      <c r="Y19" s="478"/>
      <c r="Z19" s="478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  <c r="AL19" s="478"/>
      <c r="AM19" s="478"/>
      <c r="AN19" s="478"/>
      <c r="AO19" s="478"/>
      <c r="AP19" s="478"/>
      <c r="AQ19" s="478"/>
      <c r="AR19" s="478"/>
      <c r="AS19" s="478"/>
      <c r="AT19" s="478"/>
      <c r="AU19" s="478"/>
      <c r="AV19" s="478"/>
      <c r="AW19" s="478"/>
      <c r="AX19" s="478"/>
      <c r="AY19" s="478"/>
      <c r="AZ19" s="478"/>
      <c r="BA19" s="478"/>
      <c r="BB19" s="478"/>
      <c r="BC19" s="478"/>
      <c r="BD19" s="478"/>
      <c r="BE19" s="478"/>
      <c r="BF19" s="478"/>
      <c r="BG19" s="478"/>
      <c r="BH19" s="478"/>
      <c r="BI19" s="478"/>
      <c r="BJ19" s="478"/>
      <c r="BK19" s="478"/>
      <c r="BL19" s="478"/>
      <c r="BM19" s="478"/>
      <c r="BN19" s="478"/>
      <c r="BO19" s="478"/>
      <c r="BP19" s="478"/>
      <c r="BQ19" s="478"/>
      <c r="BR19" s="478"/>
      <c r="BS19" s="478"/>
      <c r="BT19" s="478"/>
      <c r="BU19" s="478"/>
      <c r="BV19" s="478"/>
      <c r="BW19" s="478"/>
      <c r="BX19" s="478"/>
      <c r="BY19" s="478"/>
      <c r="BZ19" s="478"/>
      <c r="CA19" s="478"/>
      <c r="CB19" s="478"/>
      <c r="CC19" s="478"/>
      <c r="CD19" s="478"/>
      <c r="CE19" s="478"/>
      <c r="CF19" s="478"/>
      <c r="CG19" s="478"/>
      <c r="CH19" s="478"/>
      <c r="CI19" s="478"/>
      <c r="CJ19" s="478"/>
      <c r="CK19" s="478"/>
      <c r="CL19" s="478"/>
      <c r="CM19" s="478"/>
      <c r="CN19" s="478"/>
      <c r="CO19" s="478"/>
      <c r="CP19" s="478"/>
      <c r="CQ19" s="478"/>
      <c r="CR19" s="478"/>
      <c r="CS19" s="478"/>
      <c r="CT19" s="478"/>
      <c r="CU19" s="478"/>
      <c r="CV19" s="478"/>
      <c r="CW19" s="478"/>
      <c r="CX19" s="478"/>
      <c r="CY19" s="478"/>
      <c r="CZ19" s="478"/>
      <c r="DA19" s="478"/>
      <c r="DB19" s="478"/>
      <c r="DC19" s="478"/>
      <c r="DD19" s="478"/>
      <c r="DE19" s="478"/>
      <c r="DF19" s="478"/>
      <c r="DG19" s="478"/>
      <c r="DH19" s="478"/>
      <c r="DI19" s="478"/>
      <c r="DJ19" s="478"/>
      <c r="DK19" s="478"/>
      <c r="DL19" s="478"/>
      <c r="DM19" s="478"/>
      <c r="DN19" s="478"/>
      <c r="DO19" s="478"/>
      <c r="DP19" s="478"/>
      <c r="DQ19" s="478"/>
      <c r="DR19" s="478"/>
      <c r="DS19" s="478"/>
      <c r="DT19" s="478"/>
      <c r="DU19" s="478"/>
      <c r="DV19" s="478"/>
      <c r="DW19" s="478"/>
      <c r="DX19" s="478"/>
      <c r="DY19" s="478"/>
      <c r="DZ19" s="478"/>
      <c r="EA19" s="478"/>
      <c r="EB19" s="478"/>
      <c r="EC19" s="478"/>
      <c r="ED19" s="478"/>
      <c r="EE19" s="478"/>
      <c r="EF19" s="478"/>
      <c r="EG19" s="478"/>
      <c r="EH19" s="478"/>
      <c r="EI19" s="478"/>
      <c r="EJ19" s="478"/>
      <c r="EK19" s="478"/>
      <c r="EL19" s="478"/>
      <c r="EM19" s="478"/>
      <c r="EN19" s="478"/>
      <c r="EO19" s="478"/>
      <c r="EP19" s="478"/>
      <c r="EQ19" s="478"/>
      <c r="ER19" s="478"/>
      <c r="ES19" s="478"/>
      <c r="ET19" s="478"/>
      <c r="EU19" s="478"/>
      <c r="EV19" s="478"/>
      <c r="EW19" s="478"/>
      <c r="EX19" s="478"/>
      <c r="EY19" s="478"/>
      <c r="EZ19" s="478"/>
      <c r="FA19" s="478"/>
      <c r="FB19" s="478"/>
      <c r="FC19" s="478"/>
      <c r="FD19" s="478"/>
      <c r="FE19" s="478"/>
      <c r="FF19" s="478"/>
      <c r="FG19" s="478"/>
      <c r="FH19" s="478"/>
      <c r="FI19" s="478"/>
      <c r="FJ19" s="478"/>
      <c r="FK19" s="478"/>
      <c r="FL19" s="478"/>
      <c r="FM19" s="478"/>
      <c r="FN19" s="478"/>
      <c r="FO19" s="478"/>
      <c r="FP19" s="478"/>
      <c r="FQ19" s="478"/>
      <c r="FR19" s="478"/>
      <c r="FS19" s="478"/>
      <c r="FT19" s="478"/>
      <c r="FU19" s="478"/>
      <c r="FV19" s="478"/>
      <c r="FW19" s="478"/>
      <c r="FX19" s="478"/>
      <c r="FY19" s="478"/>
      <c r="FZ19" s="478"/>
      <c r="GA19" s="478"/>
      <c r="GB19" s="478"/>
      <c r="GC19" s="478"/>
      <c r="GD19" s="478"/>
      <c r="GE19" s="478"/>
      <c r="GF19" s="478"/>
      <c r="GG19" s="478"/>
      <c r="GH19" s="478"/>
      <c r="GI19" s="478"/>
      <c r="GJ19" s="478"/>
      <c r="GK19" s="478"/>
      <c r="GL19" s="478"/>
      <c r="GM19" s="478"/>
      <c r="GN19" s="478"/>
      <c r="GO19" s="478"/>
      <c r="GP19" s="478"/>
      <c r="GQ19" s="478"/>
      <c r="GR19" s="478"/>
      <c r="GS19" s="478"/>
      <c r="GT19" s="478"/>
      <c r="GU19" s="478"/>
      <c r="GV19" s="478"/>
      <c r="GW19" s="478"/>
      <c r="GX19" s="478"/>
      <c r="GY19" s="478"/>
      <c r="GZ19" s="478"/>
      <c r="HA19" s="478"/>
      <c r="HB19" s="478"/>
      <c r="HC19" s="478"/>
      <c r="HD19" s="478"/>
      <c r="HE19" s="478"/>
      <c r="HF19" s="478"/>
      <c r="HG19" s="478"/>
      <c r="HH19" s="478"/>
      <c r="HI19" s="478"/>
      <c r="HJ19" s="478"/>
      <c r="HK19" s="478"/>
      <c r="HL19" s="478"/>
      <c r="HM19" s="478"/>
      <c r="HN19" s="478"/>
      <c r="HO19" s="478"/>
      <c r="HP19" s="478"/>
      <c r="HQ19" s="478"/>
      <c r="HR19" s="478"/>
      <c r="HS19" s="478"/>
      <c r="HT19" s="478"/>
      <c r="HU19" s="478"/>
      <c r="HV19" s="478"/>
      <c r="HW19" s="478"/>
      <c r="HX19" s="478"/>
      <c r="HY19" s="478"/>
      <c r="HZ19" s="478"/>
      <c r="IA19" s="478"/>
      <c r="IB19" s="478"/>
      <c r="IC19" s="478"/>
      <c r="ID19" s="478"/>
      <c r="IE19" s="478"/>
      <c r="IF19" s="478"/>
      <c r="IG19" s="478"/>
      <c r="IH19" s="478"/>
      <c r="II19" s="478"/>
      <c r="IJ19" s="478"/>
      <c r="IK19" s="478"/>
      <c r="IL19" s="478"/>
      <c r="IM19" s="478"/>
      <c r="IN19" s="478"/>
      <c r="IO19" s="478"/>
      <c r="IP19" s="478"/>
      <c r="IQ19" s="478"/>
      <c r="IR19" s="478"/>
      <c r="IS19" s="478"/>
      <c r="IT19" s="478"/>
      <c r="IU19" s="478"/>
      <c r="IV19" s="478"/>
      <c r="IW19" s="478"/>
    </row>
    <row r="20" customFormat="false" ht="19.5" hidden="false" customHeight="false" outlineLevel="0" collapsed="false">
      <c r="A20" s="479" t="s">
        <v>148</v>
      </c>
      <c r="B20" s="480" t="n">
        <f aca="false">A7+F4+A17</f>
        <v>977.3448</v>
      </c>
      <c r="C20" s="480"/>
      <c r="D20" s="481" t="s">
        <v>148</v>
      </c>
      <c r="E20" s="482" t="n">
        <f aca="false">$A$7+F4+$D$17</f>
        <v>1071.888</v>
      </c>
      <c r="F20" s="482"/>
      <c r="G20" s="483" t="s">
        <v>148</v>
      </c>
      <c r="H20" s="484" t="n">
        <f aca="false">$A$7+F4+$G$17</f>
        <v>1086.1728</v>
      </c>
      <c r="I20" s="484"/>
      <c r="J20" s="485" t="str">
        <f aca="false">D20</f>
        <v>4 PÉS</v>
      </c>
      <c r="K20" s="486" t="n">
        <f aca="false">$A$7+F4+$J$17</f>
        <v>1056.2208</v>
      </c>
      <c r="L20" s="486"/>
      <c r="M20" s="478"/>
      <c r="N20" s="478"/>
      <c r="O20" s="478"/>
      <c r="P20" s="478"/>
      <c r="Q20" s="478"/>
      <c r="R20" s="478"/>
      <c r="S20" s="478"/>
      <c r="T20" s="478"/>
      <c r="U20" s="478"/>
      <c r="V20" s="478"/>
      <c r="W20" s="478"/>
      <c r="X20" s="478"/>
      <c r="Y20" s="478"/>
      <c r="Z20" s="478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  <c r="AL20" s="478"/>
      <c r="AM20" s="478"/>
      <c r="AN20" s="478"/>
      <c r="AO20" s="478"/>
      <c r="AP20" s="478"/>
      <c r="AQ20" s="478"/>
      <c r="AR20" s="478"/>
      <c r="AS20" s="478"/>
      <c r="AT20" s="478"/>
      <c r="AU20" s="478"/>
      <c r="AV20" s="478"/>
      <c r="AW20" s="478"/>
      <c r="AX20" s="478"/>
      <c r="AY20" s="478"/>
      <c r="AZ20" s="478"/>
      <c r="BA20" s="478"/>
      <c r="BB20" s="478"/>
      <c r="BC20" s="478"/>
      <c r="BD20" s="478"/>
      <c r="BE20" s="478"/>
      <c r="BF20" s="478"/>
      <c r="BG20" s="478"/>
      <c r="BH20" s="478"/>
      <c r="BI20" s="478"/>
      <c r="BJ20" s="478"/>
      <c r="BK20" s="478"/>
      <c r="BL20" s="478"/>
      <c r="BM20" s="478"/>
      <c r="BN20" s="478"/>
      <c r="BO20" s="478"/>
      <c r="BP20" s="478"/>
      <c r="BQ20" s="478"/>
      <c r="BR20" s="478"/>
      <c r="BS20" s="478"/>
      <c r="BT20" s="478"/>
      <c r="BU20" s="478"/>
      <c r="BV20" s="478"/>
      <c r="BW20" s="478"/>
      <c r="BX20" s="478"/>
      <c r="BY20" s="478"/>
      <c r="BZ20" s="478"/>
      <c r="CA20" s="478"/>
      <c r="CB20" s="478"/>
      <c r="CC20" s="478"/>
      <c r="CD20" s="478"/>
      <c r="CE20" s="478"/>
      <c r="CF20" s="478"/>
      <c r="CG20" s="478"/>
      <c r="CH20" s="478"/>
      <c r="CI20" s="478"/>
      <c r="CJ20" s="478"/>
      <c r="CK20" s="478"/>
      <c r="CL20" s="478"/>
      <c r="CM20" s="478"/>
      <c r="CN20" s="478"/>
      <c r="CO20" s="478"/>
      <c r="CP20" s="478"/>
      <c r="CQ20" s="478"/>
      <c r="CR20" s="478"/>
      <c r="CS20" s="478"/>
      <c r="CT20" s="478"/>
      <c r="CU20" s="478"/>
      <c r="CV20" s="478"/>
      <c r="CW20" s="478"/>
      <c r="CX20" s="478"/>
      <c r="CY20" s="478"/>
      <c r="CZ20" s="478"/>
      <c r="DA20" s="478"/>
      <c r="DB20" s="478"/>
      <c r="DC20" s="478"/>
      <c r="DD20" s="478"/>
      <c r="DE20" s="478"/>
      <c r="DF20" s="478"/>
      <c r="DG20" s="478"/>
      <c r="DH20" s="478"/>
      <c r="DI20" s="478"/>
      <c r="DJ20" s="478"/>
      <c r="DK20" s="478"/>
      <c r="DL20" s="478"/>
      <c r="DM20" s="478"/>
      <c r="DN20" s="478"/>
      <c r="DO20" s="478"/>
      <c r="DP20" s="478"/>
      <c r="DQ20" s="478"/>
      <c r="DR20" s="478"/>
      <c r="DS20" s="478"/>
      <c r="DT20" s="478"/>
      <c r="DU20" s="478"/>
      <c r="DV20" s="478"/>
      <c r="DW20" s="478"/>
      <c r="DX20" s="478"/>
      <c r="DY20" s="478"/>
      <c r="DZ20" s="478"/>
      <c r="EA20" s="478"/>
      <c r="EB20" s="478"/>
      <c r="EC20" s="478"/>
      <c r="ED20" s="478"/>
      <c r="EE20" s="478"/>
      <c r="EF20" s="478"/>
      <c r="EG20" s="478"/>
      <c r="EH20" s="478"/>
      <c r="EI20" s="478"/>
      <c r="EJ20" s="478"/>
      <c r="EK20" s="478"/>
      <c r="EL20" s="478"/>
      <c r="EM20" s="478"/>
      <c r="EN20" s="478"/>
      <c r="EO20" s="478"/>
      <c r="EP20" s="478"/>
      <c r="EQ20" s="478"/>
      <c r="ER20" s="478"/>
      <c r="ES20" s="478"/>
      <c r="ET20" s="478"/>
      <c r="EU20" s="478"/>
      <c r="EV20" s="478"/>
      <c r="EW20" s="478"/>
      <c r="EX20" s="478"/>
      <c r="EY20" s="478"/>
      <c r="EZ20" s="478"/>
      <c r="FA20" s="478"/>
      <c r="FB20" s="478"/>
      <c r="FC20" s="478"/>
      <c r="FD20" s="478"/>
      <c r="FE20" s="478"/>
      <c r="FF20" s="478"/>
      <c r="FG20" s="478"/>
      <c r="FH20" s="478"/>
      <c r="FI20" s="478"/>
      <c r="FJ20" s="478"/>
      <c r="FK20" s="478"/>
      <c r="FL20" s="478"/>
      <c r="FM20" s="478"/>
      <c r="FN20" s="478"/>
      <c r="FO20" s="478"/>
      <c r="FP20" s="478"/>
      <c r="FQ20" s="478"/>
      <c r="FR20" s="478"/>
      <c r="FS20" s="478"/>
      <c r="FT20" s="478"/>
      <c r="FU20" s="478"/>
      <c r="FV20" s="478"/>
      <c r="FW20" s="478"/>
      <c r="FX20" s="478"/>
      <c r="FY20" s="478"/>
      <c r="FZ20" s="478"/>
      <c r="GA20" s="478"/>
      <c r="GB20" s="478"/>
      <c r="GC20" s="478"/>
      <c r="GD20" s="478"/>
      <c r="GE20" s="478"/>
      <c r="GF20" s="478"/>
      <c r="GG20" s="478"/>
      <c r="GH20" s="478"/>
      <c r="GI20" s="478"/>
      <c r="GJ20" s="478"/>
      <c r="GK20" s="478"/>
      <c r="GL20" s="478"/>
      <c r="GM20" s="478"/>
      <c r="GN20" s="478"/>
      <c r="GO20" s="478"/>
      <c r="GP20" s="478"/>
      <c r="GQ20" s="478"/>
      <c r="GR20" s="478"/>
      <c r="GS20" s="478"/>
      <c r="GT20" s="478"/>
      <c r="GU20" s="478"/>
      <c r="GV20" s="478"/>
      <c r="GW20" s="478"/>
      <c r="GX20" s="478"/>
      <c r="GY20" s="478"/>
      <c r="GZ20" s="478"/>
      <c r="HA20" s="478"/>
      <c r="HB20" s="478"/>
      <c r="HC20" s="478"/>
      <c r="HD20" s="478"/>
      <c r="HE20" s="478"/>
      <c r="HF20" s="478"/>
      <c r="HG20" s="478"/>
      <c r="HH20" s="478"/>
      <c r="HI20" s="478"/>
      <c r="HJ20" s="478"/>
      <c r="HK20" s="478"/>
      <c r="HL20" s="478"/>
      <c r="HM20" s="478"/>
      <c r="HN20" s="478"/>
      <c r="HO20" s="478"/>
      <c r="HP20" s="478"/>
      <c r="HQ20" s="478"/>
      <c r="HR20" s="478"/>
      <c r="HS20" s="478"/>
      <c r="HT20" s="478"/>
      <c r="HU20" s="478"/>
      <c r="HV20" s="478"/>
      <c r="HW20" s="478"/>
      <c r="HX20" s="478"/>
      <c r="HY20" s="478"/>
      <c r="HZ20" s="478"/>
      <c r="IA20" s="478"/>
      <c r="IB20" s="478"/>
      <c r="IC20" s="478"/>
      <c r="ID20" s="478"/>
      <c r="IE20" s="478"/>
      <c r="IF20" s="478"/>
      <c r="IG20" s="478"/>
      <c r="IH20" s="478"/>
      <c r="II20" s="478"/>
      <c r="IJ20" s="478"/>
      <c r="IK20" s="478"/>
      <c r="IL20" s="478"/>
      <c r="IM20" s="478"/>
      <c r="IN20" s="478"/>
      <c r="IO20" s="478"/>
      <c r="IP20" s="478"/>
      <c r="IQ20" s="478"/>
      <c r="IR20" s="478"/>
      <c r="IS20" s="478"/>
      <c r="IT20" s="478"/>
      <c r="IU20" s="478"/>
      <c r="IV20" s="478"/>
      <c r="IW20" s="478"/>
    </row>
    <row r="21" customFormat="false" ht="19.5" hidden="false" customHeight="false" outlineLevel="0" collapsed="false">
      <c r="A21" s="479" t="s">
        <v>151</v>
      </c>
      <c r="B21" s="480" t="n">
        <f aca="false">$A$7+F6+$A$17</f>
        <v>1092.4698</v>
      </c>
      <c r="C21" s="480"/>
      <c r="D21" s="481" t="str">
        <f aca="false">A21</f>
        <v>5 PÉS</v>
      </c>
      <c r="E21" s="482" t="n">
        <f aca="false">$A$7+F6+$D$17</f>
        <v>1187.013</v>
      </c>
      <c r="F21" s="482"/>
      <c r="G21" s="483" t="s">
        <v>151</v>
      </c>
      <c r="H21" s="484" t="n">
        <f aca="false">$A$7+F6+$G$17</f>
        <v>1201.2978</v>
      </c>
      <c r="I21" s="484"/>
      <c r="J21" s="485" t="str">
        <f aca="false">D21</f>
        <v>5 PÉS</v>
      </c>
      <c r="K21" s="486" t="n">
        <f aca="false">$A$7+F6+$J$17</f>
        <v>1171.3458</v>
      </c>
      <c r="L21" s="486"/>
      <c r="M21" s="478"/>
      <c r="N21" s="478"/>
      <c r="O21" s="478"/>
      <c r="P21" s="478"/>
      <c r="Q21" s="478"/>
      <c r="R21" s="478"/>
      <c r="S21" s="478"/>
      <c r="T21" s="478"/>
      <c r="U21" s="478"/>
      <c r="V21" s="478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  <c r="AL21" s="478"/>
      <c r="AM21" s="478"/>
      <c r="AN21" s="478"/>
      <c r="AO21" s="478"/>
      <c r="AP21" s="478"/>
      <c r="AQ21" s="478"/>
      <c r="AR21" s="478"/>
      <c r="AS21" s="478"/>
      <c r="AT21" s="478"/>
      <c r="AU21" s="478"/>
      <c r="AV21" s="478"/>
      <c r="AW21" s="478"/>
      <c r="AX21" s="478"/>
      <c r="AY21" s="478"/>
      <c r="AZ21" s="478"/>
      <c r="BA21" s="478"/>
      <c r="BB21" s="478"/>
      <c r="BC21" s="478"/>
      <c r="BD21" s="478"/>
      <c r="BE21" s="478"/>
      <c r="BF21" s="478"/>
      <c r="BG21" s="478"/>
      <c r="BH21" s="478"/>
      <c r="BI21" s="478"/>
      <c r="BJ21" s="478"/>
      <c r="BK21" s="478"/>
      <c r="BL21" s="478"/>
      <c r="BM21" s="478"/>
      <c r="BN21" s="478"/>
      <c r="BO21" s="478"/>
      <c r="BP21" s="478"/>
      <c r="BQ21" s="478"/>
      <c r="BR21" s="478"/>
      <c r="BS21" s="478"/>
      <c r="BT21" s="478"/>
      <c r="BU21" s="478"/>
      <c r="BV21" s="478"/>
      <c r="BW21" s="478"/>
      <c r="BX21" s="478"/>
      <c r="BY21" s="478"/>
      <c r="BZ21" s="478"/>
      <c r="CA21" s="478"/>
      <c r="CB21" s="478"/>
      <c r="CC21" s="478"/>
      <c r="CD21" s="478"/>
      <c r="CE21" s="478"/>
      <c r="CF21" s="478"/>
      <c r="CG21" s="478"/>
      <c r="CH21" s="478"/>
      <c r="CI21" s="478"/>
      <c r="CJ21" s="478"/>
      <c r="CK21" s="478"/>
      <c r="CL21" s="478"/>
      <c r="CM21" s="478"/>
      <c r="CN21" s="478"/>
      <c r="CO21" s="478"/>
      <c r="CP21" s="478"/>
      <c r="CQ21" s="478"/>
      <c r="CR21" s="478"/>
      <c r="CS21" s="478"/>
      <c r="CT21" s="478"/>
      <c r="CU21" s="478"/>
      <c r="CV21" s="478"/>
      <c r="CW21" s="478"/>
      <c r="CX21" s="478"/>
      <c r="CY21" s="478"/>
      <c r="CZ21" s="478"/>
      <c r="DA21" s="478"/>
      <c r="DB21" s="478"/>
      <c r="DC21" s="478"/>
      <c r="DD21" s="478"/>
      <c r="DE21" s="478"/>
      <c r="DF21" s="478"/>
      <c r="DG21" s="478"/>
      <c r="DH21" s="478"/>
      <c r="DI21" s="478"/>
      <c r="DJ21" s="478"/>
      <c r="DK21" s="478"/>
      <c r="DL21" s="478"/>
      <c r="DM21" s="478"/>
      <c r="DN21" s="478"/>
      <c r="DO21" s="478"/>
      <c r="DP21" s="478"/>
      <c r="DQ21" s="478"/>
      <c r="DR21" s="478"/>
      <c r="DS21" s="478"/>
      <c r="DT21" s="478"/>
      <c r="DU21" s="478"/>
      <c r="DV21" s="478"/>
      <c r="DW21" s="478"/>
      <c r="DX21" s="478"/>
      <c r="DY21" s="478"/>
      <c r="DZ21" s="478"/>
      <c r="EA21" s="478"/>
      <c r="EB21" s="478"/>
      <c r="EC21" s="478"/>
      <c r="ED21" s="478"/>
      <c r="EE21" s="478"/>
      <c r="EF21" s="478"/>
      <c r="EG21" s="478"/>
      <c r="EH21" s="478"/>
      <c r="EI21" s="478"/>
      <c r="EJ21" s="478"/>
      <c r="EK21" s="478"/>
      <c r="EL21" s="478"/>
      <c r="EM21" s="478"/>
      <c r="EN21" s="478"/>
      <c r="EO21" s="478"/>
      <c r="EP21" s="478"/>
      <c r="EQ21" s="478"/>
      <c r="ER21" s="478"/>
      <c r="ES21" s="478"/>
      <c r="ET21" s="478"/>
      <c r="EU21" s="478"/>
      <c r="EV21" s="478"/>
      <c r="EW21" s="478"/>
      <c r="EX21" s="478"/>
      <c r="EY21" s="478"/>
      <c r="EZ21" s="478"/>
      <c r="FA21" s="478"/>
      <c r="FB21" s="478"/>
      <c r="FC21" s="478"/>
      <c r="FD21" s="478"/>
      <c r="FE21" s="478"/>
      <c r="FF21" s="478"/>
      <c r="FG21" s="478"/>
      <c r="FH21" s="478"/>
      <c r="FI21" s="478"/>
      <c r="FJ21" s="478"/>
      <c r="FK21" s="478"/>
      <c r="FL21" s="478"/>
      <c r="FM21" s="478"/>
      <c r="FN21" s="478"/>
      <c r="FO21" s="478"/>
      <c r="FP21" s="478"/>
      <c r="FQ21" s="478"/>
      <c r="FR21" s="478"/>
      <c r="FS21" s="478"/>
      <c r="FT21" s="478"/>
      <c r="FU21" s="478"/>
      <c r="FV21" s="478"/>
      <c r="FW21" s="478"/>
      <c r="FX21" s="478"/>
      <c r="FY21" s="478"/>
      <c r="FZ21" s="478"/>
      <c r="GA21" s="478"/>
      <c r="GB21" s="478"/>
      <c r="GC21" s="478"/>
      <c r="GD21" s="478"/>
      <c r="GE21" s="478"/>
      <c r="GF21" s="478"/>
      <c r="GG21" s="478"/>
      <c r="GH21" s="478"/>
      <c r="GI21" s="478"/>
      <c r="GJ21" s="478"/>
      <c r="GK21" s="478"/>
      <c r="GL21" s="478"/>
      <c r="GM21" s="478"/>
      <c r="GN21" s="478"/>
      <c r="GO21" s="478"/>
      <c r="GP21" s="478"/>
      <c r="GQ21" s="478"/>
      <c r="GR21" s="478"/>
      <c r="GS21" s="478"/>
      <c r="GT21" s="478"/>
      <c r="GU21" s="478"/>
      <c r="GV21" s="478"/>
      <c r="GW21" s="478"/>
      <c r="GX21" s="478"/>
      <c r="GY21" s="478"/>
      <c r="GZ21" s="478"/>
      <c r="HA21" s="478"/>
      <c r="HB21" s="478"/>
      <c r="HC21" s="478"/>
      <c r="HD21" s="478"/>
      <c r="HE21" s="478"/>
      <c r="HF21" s="478"/>
      <c r="HG21" s="478"/>
      <c r="HH21" s="478"/>
      <c r="HI21" s="478"/>
      <c r="HJ21" s="478"/>
      <c r="HK21" s="478"/>
      <c r="HL21" s="478"/>
      <c r="HM21" s="478"/>
      <c r="HN21" s="478"/>
      <c r="HO21" s="478"/>
      <c r="HP21" s="478"/>
      <c r="HQ21" s="478"/>
      <c r="HR21" s="478"/>
      <c r="HS21" s="478"/>
      <c r="HT21" s="478"/>
      <c r="HU21" s="478"/>
      <c r="HV21" s="478"/>
      <c r="HW21" s="478"/>
      <c r="HX21" s="478"/>
      <c r="HY21" s="478"/>
      <c r="HZ21" s="478"/>
      <c r="IA21" s="478"/>
      <c r="IB21" s="478"/>
      <c r="IC21" s="478"/>
      <c r="ID21" s="478"/>
      <c r="IE21" s="478"/>
      <c r="IF21" s="478"/>
      <c r="IG21" s="478"/>
      <c r="IH21" s="478"/>
      <c r="II21" s="478"/>
      <c r="IJ21" s="478"/>
      <c r="IK21" s="478"/>
      <c r="IL21" s="478"/>
      <c r="IM21" s="478"/>
      <c r="IN21" s="478"/>
      <c r="IO21" s="478"/>
      <c r="IP21" s="478"/>
      <c r="IQ21" s="478"/>
      <c r="IR21" s="478"/>
      <c r="IS21" s="478"/>
      <c r="IT21" s="478"/>
      <c r="IU21" s="478"/>
      <c r="IV21" s="478"/>
      <c r="IW21" s="478"/>
    </row>
    <row r="22" customFormat="false" ht="19.5" hidden="false" customHeight="false" outlineLevel="0" collapsed="false">
      <c r="A22" s="479" t="s">
        <v>152</v>
      </c>
      <c r="B22" s="480" t="n">
        <f aca="false">$A$7+H6+$A$17</f>
        <v>1197.0948</v>
      </c>
      <c r="C22" s="480"/>
      <c r="D22" s="481" t="s">
        <v>152</v>
      </c>
      <c r="E22" s="482" t="n">
        <f aca="false">A7+H6+D17</f>
        <v>1291.638</v>
      </c>
      <c r="F22" s="482"/>
      <c r="G22" s="483" t="s">
        <v>152</v>
      </c>
      <c r="H22" s="484" t="n">
        <f aca="false">A7+H6+G17</f>
        <v>1305.9228</v>
      </c>
      <c r="I22" s="484"/>
      <c r="J22" s="485" t="str">
        <f aca="false">D22</f>
        <v>6 PÉS</v>
      </c>
      <c r="K22" s="486" t="n">
        <f aca="false">A7+H6+J17</f>
        <v>1275.9708</v>
      </c>
      <c r="L22" s="486"/>
      <c r="M22" s="478"/>
      <c r="N22" s="478"/>
      <c r="O22" s="478"/>
      <c r="P22" s="478"/>
      <c r="Q22" s="478"/>
      <c r="R22" s="478"/>
      <c r="S22" s="478"/>
      <c r="T22" s="478"/>
      <c r="U22" s="478"/>
      <c r="V22" s="478"/>
      <c r="W22" s="478"/>
      <c r="X22" s="478"/>
      <c r="Y22" s="478"/>
      <c r="Z22" s="478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  <c r="AL22" s="478"/>
      <c r="AM22" s="478"/>
      <c r="AN22" s="478"/>
      <c r="AO22" s="478"/>
      <c r="AP22" s="478"/>
      <c r="AQ22" s="478"/>
      <c r="AR22" s="478"/>
      <c r="AS22" s="478"/>
      <c r="AT22" s="478"/>
      <c r="AU22" s="478"/>
      <c r="AV22" s="478"/>
      <c r="AW22" s="478"/>
      <c r="AX22" s="478"/>
      <c r="AY22" s="478"/>
      <c r="AZ22" s="478"/>
      <c r="BA22" s="478"/>
      <c r="BB22" s="478"/>
      <c r="BC22" s="478"/>
      <c r="BD22" s="478"/>
      <c r="BE22" s="478"/>
      <c r="BF22" s="478"/>
      <c r="BG22" s="478"/>
      <c r="BH22" s="478"/>
      <c r="BI22" s="478"/>
      <c r="BJ22" s="478"/>
      <c r="BK22" s="478"/>
      <c r="BL22" s="478"/>
      <c r="BM22" s="478"/>
      <c r="BN22" s="478"/>
      <c r="BO22" s="478"/>
      <c r="BP22" s="478"/>
      <c r="BQ22" s="478"/>
      <c r="BR22" s="478"/>
      <c r="BS22" s="478"/>
      <c r="BT22" s="478"/>
      <c r="BU22" s="478"/>
      <c r="BV22" s="478"/>
      <c r="BW22" s="478"/>
      <c r="BX22" s="478"/>
      <c r="BY22" s="478"/>
      <c r="BZ22" s="478"/>
      <c r="CA22" s="478"/>
      <c r="CB22" s="478"/>
      <c r="CC22" s="478"/>
      <c r="CD22" s="478"/>
      <c r="CE22" s="478"/>
      <c r="CF22" s="478"/>
      <c r="CG22" s="478"/>
      <c r="CH22" s="478"/>
      <c r="CI22" s="478"/>
      <c r="CJ22" s="478"/>
      <c r="CK22" s="478"/>
      <c r="CL22" s="478"/>
      <c r="CM22" s="478"/>
      <c r="CN22" s="478"/>
      <c r="CO22" s="478"/>
      <c r="CP22" s="478"/>
      <c r="CQ22" s="478"/>
      <c r="CR22" s="478"/>
      <c r="CS22" s="478"/>
      <c r="CT22" s="478"/>
      <c r="CU22" s="478"/>
      <c r="CV22" s="478"/>
      <c r="CW22" s="478"/>
      <c r="CX22" s="478"/>
      <c r="CY22" s="478"/>
      <c r="CZ22" s="478"/>
      <c r="DA22" s="478"/>
      <c r="DB22" s="478"/>
      <c r="DC22" s="478"/>
      <c r="DD22" s="478"/>
      <c r="DE22" s="478"/>
      <c r="DF22" s="478"/>
      <c r="DG22" s="478"/>
      <c r="DH22" s="478"/>
      <c r="DI22" s="478"/>
      <c r="DJ22" s="478"/>
      <c r="DK22" s="478"/>
      <c r="DL22" s="478"/>
      <c r="DM22" s="478"/>
      <c r="DN22" s="478"/>
      <c r="DO22" s="478"/>
      <c r="DP22" s="478"/>
      <c r="DQ22" s="478"/>
      <c r="DR22" s="478"/>
      <c r="DS22" s="478"/>
      <c r="DT22" s="478"/>
      <c r="DU22" s="478"/>
      <c r="DV22" s="478"/>
      <c r="DW22" s="478"/>
      <c r="DX22" s="478"/>
      <c r="DY22" s="478"/>
      <c r="DZ22" s="478"/>
      <c r="EA22" s="478"/>
      <c r="EB22" s="478"/>
      <c r="EC22" s="478"/>
      <c r="ED22" s="478"/>
      <c r="EE22" s="478"/>
      <c r="EF22" s="478"/>
      <c r="EG22" s="478"/>
      <c r="EH22" s="478"/>
      <c r="EI22" s="478"/>
      <c r="EJ22" s="478"/>
      <c r="EK22" s="478"/>
      <c r="EL22" s="478"/>
      <c r="EM22" s="478"/>
      <c r="EN22" s="478"/>
      <c r="EO22" s="478"/>
      <c r="EP22" s="478"/>
      <c r="EQ22" s="478"/>
      <c r="ER22" s="478"/>
      <c r="ES22" s="478"/>
      <c r="ET22" s="478"/>
      <c r="EU22" s="478"/>
      <c r="EV22" s="478"/>
      <c r="EW22" s="478"/>
      <c r="EX22" s="478"/>
      <c r="EY22" s="478"/>
      <c r="EZ22" s="478"/>
      <c r="FA22" s="478"/>
      <c r="FB22" s="478"/>
      <c r="FC22" s="478"/>
      <c r="FD22" s="478"/>
      <c r="FE22" s="478"/>
      <c r="FF22" s="478"/>
      <c r="FG22" s="478"/>
      <c r="FH22" s="478"/>
      <c r="FI22" s="478"/>
      <c r="FJ22" s="478"/>
      <c r="FK22" s="478"/>
      <c r="FL22" s="478"/>
      <c r="FM22" s="478"/>
      <c r="FN22" s="478"/>
      <c r="FO22" s="478"/>
      <c r="FP22" s="478"/>
      <c r="FQ22" s="478"/>
      <c r="FR22" s="478"/>
      <c r="FS22" s="478"/>
      <c r="FT22" s="478"/>
      <c r="FU22" s="478"/>
      <c r="FV22" s="478"/>
      <c r="FW22" s="478"/>
      <c r="FX22" s="478"/>
      <c r="FY22" s="478"/>
      <c r="FZ22" s="478"/>
      <c r="GA22" s="478"/>
      <c r="GB22" s="478"/>
      <c r="GC22" s="478"/>
      <c r="GD22" s="478"/>
      <c r="GE22" s="478"/>
      <c r="GF22" s="478"/>
      <c r="GG22" s="478"/>
      <c r="GH22" s="478"/>
      <c r="GI22" s="478"/>
      <c r="GJ22" s="478"/>
      <c r="GK22" s="478"/>
      <c r="GL22" s="478"/>
      <c r="GM22" s="478"/>
      <c r="GN22" s="478"/>
      <c r="GO22" s="478"/>
      <c r="GP22" s="478"/>
      <c r="GQ22" s="478"/>
      <c r="GR22" s="478"/>
      <c r="GS22" s="478"/>
      <c r="GT22" s="478"/>
      <c r="GU22" s="478"/>
      <c r="GV22" s="478"/>
      <c r="GW22" s="478"/>
      <c r="GX22" s="478"/>
      <c r="GY22" s="478"/>
      <c r="GZ22" s="478"/>
      <c r="HA22" s="478"/>
      <c r="HB22" s="478"/>
      <c r="HC22" s="478"/>
      <c r="HD22" s="478"/>
      <c r="HE22" s="478"/>
      <c r="HF22" s="478"/>
      <c r="HG22" s="478"/>
      <c r="HH22" s="478"/>
      <c r="HI22" s="478"/>
      <c r="HJ22" s="478"/>
      <c r="HK22" s="478"/>
      <c r="HL22" s="478"/>
      <c r="HM22" s="478"/>
      <c r="HN22" s="478"/>
      <c r="HO22" s="478"/>
      <c r="HP22" s="478"/>
      <c r="HQ22" s="478"/>
      <c r="HR22" s="478"/>
      <c r="HS22" s="478"/>
      <c r="HT22" s="478"/>
      <c r="HU22" s="478"/>
      <c r="HV22" s="478"/>
      <c r="HW22" s="478"/>
      <c r="HX22" s="478"/>
      <c r="HY22" s="478"/>
      <c r="HZ22" s="478"/>
      <c r="IA22" s="478"/>
      <c r="IB22" s="478"/>
      <c r="IC22" s="478"/>
      <c r="ID22" s="478"/>
      <c r="IE22" s="478"/>
      <c r="IF22" s="478"/>
      <c r="IG22" s="478"/>
      <c r="IH22" s="478"/>
      <c r="II22" s="478"/>
      <c r="IJ22" s="478"/>
      <c r="IK22" s="478"/>
      <c r="IL22" s="478"/>
      <c r="IM22" s="478"/>
      <c r="IN22" s="478"/>
      <c r="IO22" s="478"/>
      <c r="IP22" s="478"/>
      <c r="IQ22" s="478"/>
      <c r="IR22" s="478"/>
      <c r="IS22" s="478"/>
      <c r="IT22" s="478"/>
      <c r="IU22" s="478"/>
      <c r="IV22" s="478"/>
      <c r="IW22" s="478"/>
    </row>
    <row r="24" customFormat="false" ht="15" hidden="false" customHeight="false" outlineLevel="0" collapsed="false">
      <c r="A24" s="487"/>
      <c r="B24" s="487"/>
      <c r="C24" s="487"/>
      <c r="D24" s="487"/>
      <c r="E24" s="487"/>
      <c r="F24" s="487"/>
      <c r="G24" s="487"/>
      <c r="H24" s="487"/>
      <c r="I24" s="487"/>
      <c r="J24" s="488"/>
      <c r="K24" s="488"/>
      <c r="L24" s="488"/>
      <c r="M24" s="488"/>
      <c r="N24" s="488"/>
      <c r="O24" s="488"/>
      <c r="P24" s="488"/>
      <c r="Q24" s="488"/>
      <c r="R24" s="488"/>
      <c r="S24" s="488"/>
      <c r="T24" s="488"/>
      <c r="U24" s="488"/>
      <c r="V24" s="488"/>
      <c r="W24" s="488"/>
      <c r="X24" s="488"/>
      <c r="Y24" s="488"/>
      <c r="Z24" s="488"/>
      <c r="AA24" s="488"/>
      <c r="AB24" s="488"/>
      <c r="AC24" s="488"/>
      <c r="AD24" s="488"/>
      <c r="AE24" s="488"/>
      <c r="AF24" s="488"/>
      <c r="AG24" s="488"/>
      <c r="AH24" s="488"/>
      <c r="AI24" s="488"/>
      <c r="AJ24" s="488"/>
      <c r="AK24" s="488"/>
      <c r="AL24" s="488"/>
      <c r="AM24" s="488"/>
      <c r="AN24" s="488"/>
      <c r="AO24" s="488"/>
      <c r="AP24" s="488"/>
      <c r="AQ24" s="488"/>
      <c r="AR24" s="488"/>
      <c r="AS24" s="488"/>
      <c r="AT24" s="488"/>
      <c r="AU24" s="488"/>
      <c r="AV24" s="488"/>
      <c r="AW24" s="488"/>
      <c r="AX24" s="488"/>
      <c r="AY24" s="488"/>
      <c r="AZ24" s="488"/>
      <c r="BA24" s="488"/>
      <c r="BB24" s="488"/>
      <c r="BC24" s="488"/>
      <c r="BD24" s="488"/>
      <c r="BE24" s="488"/>
      <c r="BF24" s="488"/>
      <c r="BG24" s="488"/>
      <c r="BH24" s="488"/>
      <c r="BI24" s="488"/>
      <c r="BJ24" s="488"/>
      <c r="BK24" s="488"/>
      <c r="BL24" s="488"/>
      <c r="BM24" s="488"/>
      <c r="BN24" s="488"/>
      <c r="BO24" s="488"/>
      <c r="BP24" s="488"/>
      <c r="BQ24" s="488"/>
      <c r="BR24" s="488"/>
      <c r="BS24" s="488"/>
      <c r="BT24" s="488"/>
      <c r="BU24" s="488"/>
      <c r="BV24" s="488"/>
      <c r="BW24" s="488"/>
      <c r="BX24" s="488"/>
      <c r="BY24" s="488"/>
      <c r="BZ24" s="488"/>
      <c r="CA24" s="488"/>
      <c r="CB24" s="488"/>
      <c r="CC24" s="488"/>
      <c r="CD24" s="488"/>
      <c r="CE24" s="488"/>
      <c r="CF24" s="488"/>
      <c r="CG24" s="488"/>
      <c r="CH24" s="488"/>
      <c r="CI24" s="488"/>
      <c r="CJ24" s="488"/>
      <c r="CK24" s="488"/>
      <c r="CL24" s="488"/>
      <c r="CM24" s="488"/>
      <c r="CN24" s="488"/>
      <c r="CO24" s="488"/>
      <c r="CP24" s="488"/>
      <c r="CQ24" s="488"/>
      <c r="CR24" s="488"/>
      <c r="CS24" s="488"/>
      <c r="CT24" s="488"/>
      <c r="CU24" s="488"/>
      <c r="CV24" s="488"/>
      <c r="CW24" s="488"/>
      <c r="CX24" s="488"/>
      <c r="CY24" s="488"/>
      <c r="CZ24" s="488"/>
      <c r="DA24" s="488"/>
      <c r="DB24" s="488"/>
      <c r="DC24" s="488"/>
      <c r="DD24" s="488"/>
      <c r="DE24" s="488"/>
      <c r="DF24" s="488"/>
      <c r="DG24" s="488"/>
      <c r="DH24" s="488"/>
      <c r="DI24" s="488"/>
      <c r="DJ24" s="488"/>
      <c r="DK24" s="488"/>
      <c r="DL24" s="488"/>
      <c r="DM24" s="488"/>
      <c r="DN24" s="488"/>
      <c r="DO24" s="488"/>
      <c r="DP24" s="488"/>
      <c r="DQ24" s="488"/>
      <c r="DR24" s="488"/>
      <c r="DS24" s="488"/>
      <c r="DT24" s="488"/>
      <c r="DU24" s="488"/>
      <c r="DV24" s="488"/>
      <c r="DW24" s="488"/>
      <c r="DX24" s="488"/>
      <c r="DY24" s="488"/>
      <c r="DZ24" s="488"/>
      <c r="EA24" s="488"/>
      <c r="EB24" s="488"/>
      <c r="EC24" s="488"/>
      <c r="ED24" s="488"/>
      <c r="EE24" s="488"/>
      <c r="EF24" s="488"/>
      <c r="EG24" s="488"/>
      <c r="EH24" s="488"/>
      <c r="EI24" s="488"/>
      <c r="EJ24" s="488"/>
      <c r="EK24" s="488"/>
      <c r="EL24" s="488"/>
      <c r="EM24" s="488"/>
      <c r="EN24" s="488"/>
      <c r="EO24" s="488"/>
      <c r="EP24" s="488"/>
      <c r="EQ24" s="488"/>
      <c r="ER24" s="488"/>
      <c r="ES24" s="488"/>
      <c r="ET24" s="488"/>
      <c r="EU24" s="488"/>
      <c r="EV24" s="488"/>
      <c r="EW24" s="488"/>
      <c r="EX24" s="488"/>
      <c r="EY24" s="488"/>
      <c r="EZ24" s="488"/>
      <c r="FA24" s="488"/>
      <c r="FB24" s="488"/>
      <c r="FC24" s="488"/>
      <c r="FD24" s="488"/>
      <c r="FE24" s="488"/>
      <c r="FF24" s="488"/>
      <c r="FG24" s="488"/>
      <c r="FH24" s="488"/>
      <c r="FI24" s="488"/>
      <c r="FJ24" s="488"/>
      <c r="FK24" s="488"/>
      <c r="FL24" s="488"/>
      <c r="FM24" s="488"/>
      <c r="FN24" s="488"/>
      <c r="FO24" s="488"/>
      <c r="FP24" s="488"/>
      <c r="FQ24" s="488"/>
      <c r="FR24" s="488"/>
      <c r="FS24" s="488"/>
      <c r="FT24" s="488"/>
      <c r="FU24" s="488"/>
      <c r="FV24" s="488"/>
      <c r="FW24" s="488"/>
      <c r="FX24" s="488"/>
      <c r="FY24" s="488"/>
      <c r="FZ24" s="488"/>
      <c r="GA24" s="488"/>
      <c r="GB24" s="488"/>
      <c r="GC24" s="488"/>
      <c r="GD24" s="488"/>
      <c r="GE24" s="488"/>
      <c r="GF24" s="488"/>
      <c r="GG24" s="488"/>
      <c r="GH24" s="488"/>
      <c r="GI24" s="488"/>
      <c r="GJ24" s="488"/>
      <c r="GK24" s="488"/>
      <c r="GL24" s="488"/>
      <c r="GM24" s="488"/>
      <c r="GN24" s="488"/>
      <c r="GO24" s="488"/>
      <c r="GP24" s="488"/>
      <c r="GQ24" s="488"/>
      <c r="GR24" s="488"/>
      <c r="GS24" s="488"/>
      <c r="GT24" s="488"/>
      <c r="GU24" s="488"/>
      <c r="GV24" s="488"/>
      <c r="GW24" s="488"/>
      <c r="GX24" s="488"/>
      <c r="GY24" s="488"/>
      <c r="GZ24" s="488"/>
      <c r="HA24" s="488"/>
      <c r="HB24" s="488"/>
      <c r="HC24" s="488"/>
      <c r="HD24" s="488"/>
      <c r="HE24" s="488"/>
      <c r="HF24" s="488"/>
      <c r="HG24" s="488"/>
      <c r="HH24" s="488"/>
      <c r="HI24" s="488"/>
      <c r="HJ24" s="488"/>
      <c r="HK24" s="488"/>
      <c r="HL24" s="488"/>
      <c r="HM24" s="488"/>
      <c r="HN24" s="488"/>
      <c r="HO24" s="488"/>
      <c r="HP24" s="488"/>
      <c r="HQ24" s="488"/>
      <c r="HR24" s="488"/>
      <c r="HS24" s="488"/>
      <c r="HT24" s="488"/>
      <c r="HU24" s="488"/>
      <c r="HV24" s="488"/>
      <c r="HW24" s="488"/>
      <c r="HX24" s="488"/>
      <c r="HY24" s="488"/>
      <c r="HZ24" s="488"/>
      <c r="IA24" s="488"/>
      <c r="IB24" s="488"/>
      <c r="IC24" s="488"/>
      <c r="ID24" s="488"/>
      <c r="IE24" s="488"/>
      <c r="IF24" s="488"/>
      <c r="IG24" s="488"/>
      <c r="IH24" s="488"/>
      <c r="II24" s="488"/>
      <c r="IJ24" s="488"/>
      <c r="IK24" s="488"/>
      <c r="IL24" s="488"/>
      <c r="IM24" s="488"/>
      <c r="IN24" s="488"/>
      <c r="IO24" s="488"/>
      <c r="IP24" s="488"/>
      <c r="IQ24" s="488"/>
      <c r="IR24" s="488"/>
      <c r="IS24" s="488"/>
      <c r="IT24" s="488"/>
      <c r="IU24" s="488"/>
      <c r="IV24" s="488"/>
      <c r="IW24" s="488"/>
    </row>
    <row r="25" customFormat="false" ht="15" hidden="false" customHeight="false" outlineLevel="0" collapsed="false">
      <c r="A25" s="487"/>
      <c r="B25" s="487"/>
      <c r="C25" s="487"/>
      <c r="D25" s="487"/>
      <c r="E25" s="487"/>
      <c r="F25" s="487"/>
      <c r="G25" s="487"/>
      <c r="H25" s="487"/>
      <c r="I25" s="487"/>
      <c r="J25" s="488"/>
      <c r="K25" s="488"/>
      <c r="L25" s="488"/>
      <c r="M25" s="488"/>
      <c r="N25" s="488"/>
      <c r="O25" s="488"/>
      <c r="P25" s="488"/>
      <c r="Q25" s="488"/>
      <c r="R25" s="488"/>
      <c r="S25" s="488"/>
      <c r="T25" s="488"/>
      <c r="U25" s="488"/>
      <c r="V25" s="488"/>
      <c r="W25" s="488"/>
      <c r="X25" s="488"/>
      <c r="Y25" s="488"/>
      <c r="Z25" s="488"/>
      <c r="AA25" s="488"/>
      <c r="AB25" s="488"/>
      <c r="AC25" s="488"/>
      <c r="AD25" s="488"/>
      <c r="AE25" s="488"/>
      <c r="AF25" s="488"/>
      <c r="AG25" s="488"/>
      <c r="AH25" s="488"/>
      <c r="AI25" s="488"/>
      <c r="AJ25" s="488"/>
      <c r="AK25" s="488"/>
      <c r="AL25" s="488"/>
      <c r="AM25" s="488"/>
      <c r="AN25" s="488"/>
      <c r="AO25" s="488"/>
      <c r="AP25" s="488"/>
      <c r="AQ25" s="488"/>
      <c r="AR25" s="488"/>
      <c r="AS25" s="488"/>
      <c r="AT25" s="488"/>
      <c r="AU25" s="488"/>
      <c r="AV25" s="488"/>
      <c r="AW25" s="488"/>
      <c r="AX25" s="488"/>
      <c r="AY25" s="488"/>
      <c r="AZ25" s="488"/>
      <c r="BA25" s="488"/>
      <c r="BB25" s="488"/>
      <c r="BC25" s="488"/>
      <c r="BD25" s="488"/>
      <c r="BE25" s="488"/>
      <c r="BF25" s="488"/>
      <c r="BG25" s="488"/>
      <c r="BH25" s="488"/>
      <c r="BI25" s="488"/>
      <c r="BJ25" s="488"/>
      <c r="BK25" s="488"/>
      <c r="BL25" s="488"/>
      <c r="BM25" s="488"/>
      <c r="BN25" s="488"/>
      <c r="BO25" s="488"/>
      <c r="BP25" s="488"/>
      <c r="BQ25" s="488"/>
      <c r="BR25" s="488"/>
      <c r="BS25" s="488"/>
      <c r="BT25" s="488"/>
      <c r="BU25" s="488"/>
      <c r="BV25" s="488"/>
      <c r="BW25" s="488"/>
      <c r="BX25" s="488"/>
      <c r="BY25" s="488"/>
      <c r="BZ25" s="488"/>
      <c r="CA25" s="488"/>
      <c r="CB25" s="488"/>
      <c r="CC25" s="488"/>
      <c r="CD25" s="488"/>
      <c r="CE25" s="488"/>
      <c r="CF25" s="488"/>
      <c r="CG25" s="488"/>
      <c r="CH25" s="488"/>
      <c r="CI25" s="488"/>
      <c r="CJ25" s="488"/>
      <c r="CK25" s="488"/>
      <c r="CL25" s="488"/>
      <c r="CM25" s="488"/>
      <c r="CN25" s="488"/>
      <c r="CO25" s="488"/>
      <c r="CP25" s="488"/>
      <c r="CQ25" s="488"/>
      <c r="CR25" s="488"/>
      <c r="CS25" s="488"/>
      <c r="CT25" s="488"/>
      <c r="CU25" s="488"/>
      <c r="CV25" s="488"/>
      <c r="CW25" s="488"/>
      <c r="CX25" s="488"/>
      <c r="CY25" s="488"/>
      <c r="CZ25" s="488"/>
      <c r="DA25" s="488"/>
      <c r="DB25" s="488"/>
      <c r="DC25" s="488"/>
      <c r="DD25" s="488"/>
      <c r="DE25" s="488"/>
      <c r="DF25" s="488"/>
      <c r="DG25" s="488"/>
      <c r="DH25" s="488"/>
      <c r="DI25" s="488"/>
      <c r="DJ25" s="488"/>
      <c r="DK25" s="488"/>
      <c r="DL25" s="488"/>
      <c r="DM25" s="488"/>
      <c r="DN25" s="488"/>
      <c r="DO25" s="488"/>
      <c r="DP25" s="488"/>
      <c r="DQ25" s="488"/>
      <c r="DR25" s="488"/>
      <c r="DS25" s="488"/>
      <c r="DT25" s="488"/>
      <c r="DU25" s="488"/>
      <c r="DV25" s="488"/>
      <c r="DW25" s="488"/>
      <c r="DX25" s="488"/>
      <c r="DY25" s="488"/>
      <c r="DZ25" s="488"/>
      <c r="EA25" s="488"/>
      <c r="EB25" s="488"/>
      <c r="EC25" s="488"/>
      <c r="ED25" s="488"/>
      <c r="EE25" s="488"/>
      <c r="EF25" s="488"/>
      <c r="EG25" s="488"/>
      <c r="EH25" s="488"/>
      <c r="EI25" s="488"/>
      <c r="EJ25" s="488"/>
      <c r="EK25" s="488"/>
      <c r="EL25" s="488"/>
      <c r="EM25" s="488"/>
      <c r="EN25" s="488"/>
      <c r="EO25" s="488"/>
      <c r="EP25" s="488"/>
      <c r="EQ25" s="488"/>
      <c r="ER25" s="488"/>
      <c r="ES25" s="488"/>
      <c r="ET25" s="488"/>
      <c r="EU25" s="488"/>
      <c r="EV25" s="488"/>
      <c r="EW25" s="488"/>
      <c r="EX25" s="488"/>
      <c r="EY25" s="488"/>
      <c r="EZ25" s="488"/>
      <c r="FA25" s="488"/>
      <c r="FB25" s="488"/>
      <c r="FC25" s="488"/>
      <c r="FD25" s="488"/>
      <c r="FE25" s="488"/>
      <c r="FF25" s="488"/>
      <c r="FG25" s="488"/>
      <c r="FH25" s="488"/>
      <c r="FI25" s="488"/>
      <c r="FJ25" s="488"/>
      <c r="FK25" s="488"/>
      <c r="FL25" s="488"/>
      <c r="FM25" s="488"/>
      <c r="FN25" s="488"/>
      <c r="FO25" s="488"/>
      <c r="FP25" s="488"/>
      <c r="FQ25" s="488"/>
      <c r="FR25" s="488"/>
      <c r="FS25" s="488"/>
      <c r="FT25" s="488"/>
      <c r="FU25" s="488"/>
      <c r="FV25" s="488"/>
      <c r="FW25" s="488"/>
      <c r="FX25" s="488"/>
      <c r="FY25" s="488"/>
      <c r="FZ25" s="488"/>
      <c r="GA25" s="488"/>
      <c r="GB25" s="488"/>
      <c r="GC25" s="488"/>
      <c r="GD25" s="488"/>
      <c r="GE25" s="488"/>
      <c r="GF25" s="488"/>
      <c r="GG25" s="488"/>
      <c r="GH25" s="488"/>
      <c r="GI25" s="488"/>
      <c r="GJ25" s="488"/>
      <c r="GK25" s="488"/>
      <c r="GL25" s="488"/>
      <c r="GM25" s="488"/>
      <c r="GN25" s="488"/>
      <c r="GO25" s="488"/>
      <c r="GP25" s="488"/>
      <c r="GQ25" s="488"/>
      <c r="GR25" s="488"/>
      <c r="GS25" s="488"/>
      <c r="GT25" s="488"/>
      <c r="GU25" s="488"/>
      <c r="GV25" s="488"/>
      <c r="GW25" s="488"/>
      <c r="GX25" s="488"/>
      <c r="GY25" s="488"/>
      <c r="GZ25" s="488"/>
      <c r="HA25" s="488"/>
      <c r="HB25" s="488"/>
      <c r="HC25" s="488"/>
      <c r="HD25" s="488"/>
      <c r="HE25" s="488"/>
      <c r="HF25" s="488"/>
      <c r="HG25" s="488"/>
      <c r="HH25" s="488"/>
      <c r="HI25" s="488"/>
      <c r="HJ25" s="488"/>
      <c r="HK25" s="488"/>
      <c r="HL25" s="488"/>
      <c r="HM25" s="488"/>
      <c r="HN25" s="488"/>
      <c r="HO25" s="488"/>
      <c r="HP25" s="488"/>
      <c r="HQ25" s="488"/>
      <c r="HR25" s="488"/>
      <c r="HS25" s="488"/>
      <c r="HT25" s="488"/>
      <c r="HU25" s="488"/>
      <c r="HV25" s="488"/>
      <c r="HW25" s="488"/>
      <c r="HX25" s="488"/>
      <c r="HY25" s="488"/>
      <c r="HZ25" s="488"/>
      <c r="IA25" s="488"/>
      <c r="IB25" s="488"/>
      <c r="IC25" s="488"/>
      <c r="ID25" s="488"/>
      <c r="IE25" s="488"/>
      <c r="IF25" s="488"/>
      <c r="IG25" s="488"/>
      <c r="IH25" s="488"/>
      <c r="II25" s="488"/>
      <c r="IJ25" s="488"/>
      <c r="IK25" s="488"/>
      <c r="IL25" s="488"/>
      <c r="IM25" s="488"/>
      <c r="IN25" s="488"/>
      <c r="IO25" s="488"/>
      <c r="IP25" s="488"/>
      <c r="IQ25" s="488"/>
      <c r="IR25" s="488"/>
      <c r="IS25" s="488"/>
      <c r="IT25" s="488"/>
      <c r="IU25" s="488"/>
      <c r="IV25" s="488"/>
      <c r="IW25" s="488"/>
    </row>
  </sheetData>
  <mergeCells count="40">
    <mergeCell ref="A1:E1"/>
    <mergeCell ref="F1:I1"/>
    <mergeCell ref="J2:K6"/>
    <mergeCell ref="D3:E3"/>
    <mergeCell ref="F4:G4"/>
    <mergeCell ref="A5:C5"/>
    <mergeCell ref="F6:G6"/>
    <mergeCell ref="H6:I6"/>
    <mergeCell ref="A7:C7"/>
    <mergeCell ref="A9:C9"/>
    <mergeCell ref="D9:F9"/>
    <mergeCell ref="G9:I9"/>
    <mergeCell ref="J9:L9"/>
    <mergeCell ref="I13:I14"/>
    <mergeCell ref="A14:C14"/>
    <mergeCell ref="D14:F14"/>
    <mergeCell ref="J14:L14"/>
    <mergeCell ref="A17:C17"/>
    <mergeCell ref="D17:F17"/>
    <mergeCell ref="G17:I17"/>
    <mergeCell ref="J17:L17"/>
    <mergeCell ref="A19:C19"/>
    <mergeCell ref="D19:F19"/>
    <mergeCell ref="G19:I19"/>
    <mergeCell ref="J19:L19"/>
    <mergeCell ref="B20:C20"/>
    <mergeCell ref="E20:F20"/>
    <mergeCell ref="H20:I20"/>
    <mergeCell ref="K20:L20"/>
    <mergeCell ref="B21:C21"/>
    <mergeCell ref="E21:F21"/>
    <mergeCell ref="H21:I21"/>
    <mergeCell ref="K21:L21"/>
    <mergeCell ref="B22:C22"/>
    <mergeCell ref="E22:F22"/>
    <mergeCell ref="H22:I22"/>
    <mergeCell ref="K22:L22"/>
    <mergeCell ref="A24:C25"/>
    <mergeCell ref="D24:F25"/>
    <mergeCell ref="G24:I25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69696"/>
    <pageSetUpPr fitToPage="false"/>
  </sheetPr>
  <dimension ref="A1:IW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28125" defaultRowHeight="12.75" customHeight="false" zeroHeight="false" outlineLevelRow="0" outlineLevelCol="0"/>
  <cols>
    <col collapsed="false" customWidth="true" hidden="false" outlineLevel="0" max="1" min="1" style="354" width="20.41"/>
    <col collapsed="false" customWidth="true" hidden="false" outlineLevel="0" max="2" min="2" style="354" width="8.99"/>
    <col collapsed="false" customWidth="true" hidden="false" outlineLevel="0" max="3" min="3" style="354" width="11.28"/>
    <col collapsed="false" customWidth="true" hidden="false" outlineLevel="0" max="4" min="4" style="354" width="12.28"/>
    <col collapsed="false" customWidth="true" hidden="false" outlineLevel="0" max="6" min="5" style="354" width="8.99"/>
    <col collapsed="false" customWidth="false" hidden="false" outlineLevel="0" max="7" min="7" style="354" width="9.28"/>
    <col collapsed="false" customWidth="true" hidden="false" outlineLevel="0" max="8" min="8" style="354" width="2.99"/>
    <col collapsed="false" customWidth="false" hidden="false" outlineLevel="0" max="257" min="9" style="354" width="9.28"/>
  </cols>
  <sheetData>
    <row r="1" customFormat="false" ht="26.25" hidden="false" customHeight="true" outlineLevel="0" collapsed="false">
      <c r="A1" s="489" t="s">
        <v>162</v>
      </c>
      <c r="B1" s="489"/>
      <c r="C1" s="489"/>
      <c r="D1" s="489"/>
      <c r="E1" s="489"/>
      <c r="F1" s="489"/>
      <c r="G1" s="490" t="s">
        <v>163</v>
      </c>
    </row>
    <row r="2" customFormat="false" ht="12.75" hidden="false" customHeight="true" outlineLevel="0" collapsed="false">
      <c r="A2" s="491" t="s">
        <v>164</v>
      </c>
      <c r="B2" s="491" t="s">
        <v>100</v>
      </c>
      <c r="C2" s="491" t="s">
        <v>29</v>
      </c>
      <c r="D2" s="491"/>
      <c r="E2" s="491" t="s">
        <v>82</v>
      </c>
      <c r="F2" s="491" t="s">
        <v>36</v>
      </c>
      <c r="G2" s="490"/>
      <c r="H2" s="492"/>
      <c r="I2" s="384" t="s">
        <v>165</v>
      </c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2"/>
      <c r="W2" s="492"/>
      <c r="X2" s="492"/>
      <c r="Y2" s="492"/>
      <c r="Z2" s="492"/>
      <c r="AA2" s="492"/>
      <c r="AB2" s="492"/>
      <c r="AC2" s="492"/>
      <c r="AD2" s="492"/>
      <c r="AE2" s="492"/>
      <c r="AF2" s="492"/>
      <c r="AG2" s="492"/>
      <c r="AH2" s="492"/>
      <c r="AI2" s="492"/>
      <c r="AJ2" s="492"/>
      <c r="AK2" s="492"/>
      <c r="AL2" s="492"/>
      <c r="AM2" s="492"/>
      <c r="AN2" s="492"/>
      <c r="AO2" s="492"/>
      <c r="AP2" s="492"/>
      <c r="AQ2" s="492"/>
      <c r="AR2" s="492"/>
      <c r="AS2" s="492"/>
      <c r="AT2" s="492"/>
      <c r="AU2" s="492"/>
      <c r="AV2" s="492"/>
      <c r="AW2" s="492"/>
      <c r="AX2" s="492"/>
      <c r="AY2" s="492"/>
      <c r="AZ2" s="492"/>
      <c r="BA2" s="492"/>
      <c r="BB2" s="492"/>
      <c r="BC2" s="492"/>
      <c r="BD2" s="492"/>
      <c r="BE2" s="492"/>
      <c r="BF2" s="492"/>
      <c r="BG2" s="492"/>
      <c r="BH2" s="492"/>
      <c r="BI2" s="492"/>
      <c r="BJ2" s="492"/>
      <c r="BK2" s="492"/>
      <c r="BL2" s="492"/>
      <c r="BM2" s="492"/>
      <c r="BN2" s="492"/>
      <c r="BO2" s="492"/>
      <c r="BP2" s="492"/>
      <c r="BQ2" s="492"/>
      <c r="BR2" s="492"/>
      <c r="BS2" s="492"/>
      <c r="BT2" s="492"/>
      <c r="BU2" s="492"/>
      <c r="BV2" s="492"/>
      <c r="BW2" s="492"/>
      <c r="BX2" s="492"/>
      <c r="BY2" s="492"/>
      <c r="BZ2" s="492"/>
      <c r="CA2" s="492"/>
      <c r="CB2" s="492"/>
      <c r="CC2" s="492"/>
      <c r="CD2" s="492"/>
      <c r="CE2" s="492"/>
      <c r="CF2" s="492"/>
      <c r="CG2" s="492"/>
      <c r="CH2" s="492"/>
      <c r="CI2" s="492"/>
      <c r="CJ2" s="492"/>
      <c r="CK2" s="492"/>
      <c r="CL2" s="492"/>
      <c r="CM2" s="492"/>
      <c r="CN2" s="492"/>
      <c r="CO2" s="492"/>
      <c r="CP2" s="492"/>
      <c r="CQ2" s="492"/>
      <c r="CR2" s="492"/>
      <c r="CS2" s="492"/>
      <c r="CT2" s="492"/>
      <c r="CU2" s="492"/>
      <c r="CV2" s="492"/>
      <c r="CW2" s="492"/>
      <c r="CX2" s="492"/>
      <c r="CY2" s="492"/>
      <c r="CZ2" s="492"/>
      <c r="DA2" s="492"/>
      <c r="DB2" s="492"/>
      <c r="DC2" s="492"/>
      <c r="DD2" s="492"/>
      <c r="DE2" s="492"/>
      <c r="DF2" s="492"/>
      <c r="DG2" s="492"/>
      <c r="DH2" s="492"/>
      <c r="DI2" s="492"/>
      <c r="DJ2" s="492"/>
      <c r="DK2" s="492"/>
      <c r="DL2" s="492"/>
      <c r="DM2" s="492"/>
      <c r="DN2" s="492"/>
      <c r="DO2" s="492"/>
      <c r="DP2" s="492"/>
      <c r="DQ2" s="492"/>
      <c r="DR2" s="492"/>
      <c r="DS2" s="492"/>
      <c r="DT2" s="492"/>
      <c r="DU2" s="492"/>
      <c r="DV2" s="492"/>
      <c r="DW2" s="492"/>
      <c r="DX2" s="492"/>
      <c r="DY2" s="492"/>
      <c r="DZ2" s="492"/>
      <c r="EA2" s="492"/>
      <c r="EB2" s="492"/>
      <c r="EC2" s="492"/>
      <c r="ED2" s="492"/>
      <c r="EE2" s="492"/>
      <c r="EF2" s="492"/>
      <c r="EG2" s="492"/>
      <c r="EH2" s="492"/>
      <c r="EI2" s="492"/>
      <c r="EJ2" s="492"/>
      <c r="EK2" s="492"/>
      <c r="EL2" s="492"/>
      <c r="EM2" s="492"/>
      <c r="EN2" s="492"/>
      <c r="EO2" s="492"/>
      <c r="EP2" s="492"/>
      <c r="EQ2" s="492"/>
      <c r="ER2" s="492"/>
      <c r="ES2" s="492"/>
      <c r="ET2" s="492"/>
      <c r="EU2" s="492"/>
      <c r="EV2" s="492"/>
      <c r="EW2" s="492"/>
      <c r="EX2" s="492"/>
      <c r="EY2" s="492"/>
      <c r="EZ2" s="492"/>
      <c r="FA2" s="492"/>
      <c r="FB2" s="492"/>
      <c r="FC2" s="492"/>
      <c r="FD2" s="492"/>
      <c r="FE2" s="492"/>
      <c r="FF2" s="492"/>
      <c r="FG2" s="492"/>
      <c r="FH2" s="492"/>
      <c r="FI2" s="492"/>
      <c r="FJ2" s="492"/>
      <c r="FK2" s="492"/>
      <c r="FL2" s="492"/>
      <c r="FM2" s="492"/>
      <c r="FN2" s="492"/>
      <c r="FO2" s="492"/>
      <c r="FP2" s="492"/>
      <c r="FQ2" s="492"/>
      <c r="FR2" s="492"/>
      <c r="FS2" s="492"/>
      <c r="FT2" s="492"/>
      <c r="FU2" s="492"/>
      <c r="FV2" s="492"/>
      <c r="FW2" s="492"/>
      <c r="FX2" s="492"/>
      <c r="FY2" s="492"/>
      <c r="FZ2" s="492"/>
      <c r="GA2" s="492"/>
      <c r="GB2" s="492"/>
      <c r="GC2" s="492"/>
      <c r="GD2" s="492"/>
      <c r="GE2" s="492"/>
      <c r="GF2" s="492"/>
      <c r="GG2" s="492"/>
      <c r="GH2" s="492"/>
      <c r="GI2" s="492"/>
      <c r="GJ2" s="492"/>
      <c r="GK2" s="492"/>
      <c r="GL2" s="492"/>
      <c r="GM2" s="492"/>
      <c r="GN2" s="492"/>
      <c r="GO2" s="492"/>
      <c r="GP2" s="492"/>
      <c r="GQ2" s="492"/>
      <c r="GR2" s="492"/>
      <c r="GS2" s="492"/>
      <c r="GT2" s="492"/>
      <c r="GU2" s="492"/>
      <c r="GV2" s="492"/>
      <c r="GW2" s="492"/>
      <c r="GX2" s="492"/>
      <c r="GY2" s="492"/>
      <c r="GZ2" s="492"/>
      <c r="HA2" s="492"/>
      <c r="HB2" s="492"/>
      <c r="HC2" s="492"/>
      <c r="HD2" s="492"/>
      <c r="HE2" s="492"/>
      <c r="HF2" s="492"/>
      <c r="HG2" s="492"/>
      <c r="HH2" s="492"/>
      <c r="HI2" s="492"/>
      <c r="HJ2" s="492"/>
      <c r="HK2" s="492"/>
      <c r="HL2" s="492"/>
      <c r="HM2" s="492"/>
      <c r="HN2" s="492"/>
      <c r="HO2" s="492"/>
      <c r="HP2" s="492"/>
      <c r="HQ2" s="492"/>
      <c r="HR2" s="492"/>
      <c r="HS2" s="492"/>
      <c r="HT2" s="492"/>
      <c r="HU2" s="492"/>
      <c r="HV2" s="492"/>
      <c r="HW2" s="492"/>
      <c r="HX2" s="492"/>
      <c r="HY2" s="492"/>
      <c r="HZ2" s="492"/>
      <c r="IA2" s="492"/>
      <c r="IB2" s="492"/>
      <c r="IC2" s="492"/>
      <c r="ID2" s="492"/>
      <c r="IE2" s="492"/>
      <c r="IF2" s="492"/>
      <c r="IG2" s="492"/>
      <c r="IH2" s="492"/>
      <c r="II2" s="492"/>
      <c r="IJ2" s="492"/>
      <c r="IK2" s="492"/>
      <c r="IL2" s="492"/>
      <c r="IM2" s="492"/>
      <c r="IN2" s="492"/>
      <c r="IO2" s="492"/>
      <c r="IP2" s="492"/>
      <c r="IQ2" s="492"/>
      <c r="IR2" s="492"/>
      <c r="IS2" s="492"/>
      <c r="IT2" s="492"/>
      <c r="IU2" s="492"/>
      <c r="IV2" s="492"/>
      <c r="IW2" s="492"/>
    </row>
    <row r="3" customFormat="false" ht="18" hidden="false" customHeight="false" outlineLevel="0" collapsed="false">
      <c r="A3" s="493" t="n">
        <v>1900</v>
      </c>
      <c r="B3" s="494" t="n">
        <v>800</v>
      </c>
      <c r="C3" s="494" t="n">
        <v>450</v>
      </c>
      <c r="D3" s="495" t="n">
        <f aca="false">C3+250</f>
        <v>700</v>
      </c>
      <c r="E3" s="496" t="n">
        <v>0.8</v>
      </c>
      <c r="F3" s="497" t="n">
        <v>37</v>
      </c>
      <c r="G3" s="490"/>
    </row>
    <row r="4" customFormat="false" ht="6.75" hidden="false" customHeight="true" outlineLevel="0" collapsed="false">
      <c r="A4" s="498"/>
      <c r="B4" s="498"/>
      <c r="C4" s="498"/>
      <c r="D4" s="499" t="n">
        <f aca="false">C3+150</f>
        <v>600</v>
      </c>
      <c r="E4" s="498"/>
      <c r="F4" s="498"/>
      <c r="G4" s="490"/>
    </row>
    <row r="5" customFormat="false" ht="12.75" hidden="false" customHeight="true" outlineLevel="0" collapsed="false">
      <c r="A5" s="500" t="s">
        <v>166</v>
      </c>
      <c r="B5" s="500"/>
      <c r="C5" s="500"/>
      <c r="D5" s="500"/>
      <c r="E5" s="500"/>
      <c r="F5" s="500"/>
      <c r="G5" s="490"/>
    </row>
    <row r="6" customFormat="false" ht="12.75" hidden="false" customHeight="true" outlineLevel="0" collapsed="false">
      <c r="A6" s="498"/>
      <c r="B6" s="498" t="s">
        <v>167</v>
      </c>
      <c r="C6" s="498"/>
      <c r="D6" s="498"/>
      <c r="E6" s="498"/>
      <c r="F6" s="498"/>
      <c r="G6" s="490"/>
    </row>
    <row r="7" customFormat="false" ht="12.75" hidden="false" customHeight="false" outlineLevel="0" collapsed="false">
      <c r="A7" s="495" t="n">
        <f aca="false">A3*D3*E3*8/1000000</f>
        <v>8.512</v>
      </c>
      <c r="B7" s="495" t="n">
        <v>2</v>
      </c>
      <c r="C7" s="501" t="n">
        <f aca="false">A7*B7*F3*D7</f>
        <v>2519.552</v>
      </c>
      <c r="D7" s="502" t="n">
        <v>4</v>
      </c>
      <c r="E7" s="503" t="n">
        <f aca="false">SUM(C7:C9)</f>
        <v>3949.824</v>
      </c>
      <c r="F7" s="503"/>
      <c r="G7" s="490"/>
    </row>
    <row r="8" customFormat="false" ht="12.75" hidden="false" customHeight="true" outlineLevel="0" collapsed="false">
      <c r="A8" s="495" t="n">
        <f aca="false">B3*D3*E3*8/1000000</f>
        <v>3.584</v>
      </c>
      <c r="B8" s="495" t="n">
        <v>2</v>
      </c>
      <c r="C8" s="501" t="n">
        <f aca="false">A8*B8*F3*D7</f>
        <v>1060.864</v>
      </c>
      <c r="D8" s="502"/>
      <c r="E8" s="503"/>
      <c r="F8" s="503"/>
      <c r="G8" s="490"/>
    </row>
    <row r="9" customFormat="false" ht="12.75" hidden="false" customHeight="true" outlineLevel="0" collapsed="false">
      <c r="A9" s="495" t="n">
        <f aca="false">(A3-600)*(B3-500)*E3*8/1000000</f>
        <v>2.496</v>
      </c>
      <c r="B9" s="495" t="n">
        <v>1</v>
      </c>
      <c r="C9" s="501" t="n">
        <f aca="false">A9*B9*F3*D7</f>
        <v>369.408</v>
      </c>
      <c r="D9" s="502"/>
      <c r="E9" s="503"/>
      <c r="F9" s="503"/>
      <c r="G9" s="490"/>
    </row>
    <row r="10" customFormat="false" ht="6.75" hidden="false" customHeight="true" outlineLevel="0" collapsed="false">
      <c r="A10" s="498"/>
      <c r="B10" s="498"/>
      <c r="C10" s="498"/>
      <c r="D10" s="498"/>
      <c r="E10" s="498"/>
      <c r="F10" s="498"/>
      <c r="G10" s="490"/>
    </row>
    <row r="11" customFormat="false" ht="12.75" hidden="false" customHeight="false" outlineLevel="0" collapsed="false">
      <c r="A11" s="500" t="s">
        <v>168</v>
      </c>
      <c r="B11" s="500"/>
      <c r="C11" s="500"/>
      <c r="D11" s="500"/>
      <c r="E11" s="500"/>
      <c r="F11" s="500"/>
      <c r="G11" s="490"/>
    </row>
    <row r="12" customFormat="false" ht="12.75" hidden="false" customHeight="true" outlineLevel="0" collapsed="false">
      <c r="A12" s="498"/>
      <c r="B12" s="498" t="s">
        <v>167</v>
      </c>
      <c r="C12" s="498"/>
      <c r="D12" s="498"/>
      <c r="E12" s="498" t="s">
        <v>169</v>
      </c>
      <c r="F12" s="498"/>
      <c r="G12" s="490"/>
    </row>
    <row r="13" customFormat="false" ht="12.75" hidden="false" customHeight="true" outlineLevel="0" collapsed="false">
      <c r="A13" s="495" t="n">
        <f aca="false">A3*D3*E3*8/1000000</f>
        <v>8.512</v>
      </c>
      <c r="B13" s="495" t="n">
        <v>2</v>
      </c>
      <c r="C13" s="501" t="n">
        <f aca="false">A13*B13*F3*D13</f>
        <v>1889.664</v>
      </c>
      <c r="D13" s="502" t="n">
        <v>3</v>
      </c>
      <c r="E13" s="503" t="n">
        <f aca="false">SUM(C13:C16)</f>
        <v>2905.536</v>
      </c>
      <c r="F13" s="503"/>
      <c r="G13" s="490"/>
    </row>
    <row r="14" customFormat="false" ht="12.75" hidden="false" customHeight="true" outlineLevel="0" collapsed="false">
      <c r="A14" s="495" t="n">
        <f aca="false">B3*D3*E3*8/1000000</f>
        <v>3.584</v>
      </c>
      <c r="B14" s="495" t="n">
        <v>1</v>
      </c>
      <c r="C14" s="501" t="n">
        <f aca="false">A14*B14*F3*D13</f>
        <v>397.824</v>
      </c>
      <c r="D14" s="502"/>
      <c r="E14" s="503"/>
      <c r="F14" s="503"/>
      <c r="G14" s="490"/>
    </row>
    <row r="15" customFormat="false" ht="12.75" hidden="false" customHeight="false" outlineLevel="0" collapsed="false">
      <c r="A15" s="495" t="n">
        <f aca="false">B3*D4*E3*8/1000000</f>
        <v>3.072</v>
      </c>
      <c r="B15" s="495" t="n">
        <v>1</v>
      </c>
      <c r="C15" s="501" t="n">
        <f aca="false">A15*B15*F3*D13</f>
        <v>340.992</v>
      </c>
      <c r="D15" s="502"/>
      <c r="E15" s="503"/>
      <c r="F15" s="503"/>
      <c r="G15" s="490"/>
    </row>
    <row r="16" customFormat="false" ht="12.75" hidden="false" customHeight="false" outlineLevel="0" collapsed="false">
      <c r="A16" s="495" t="n">
        <f aca="false">(A3-600)*(B3-500)*E3*8/1000000</f>
        <v>2.496</v>
      </c>
      <c r="B16" s="495" t="n">
        <v>1</v>
      </c>
      <c r="C16" s="501" t="n">
        <f aca="false">A16*B16*F3*D13</f>
        <v>277.056</v>
      </c>
      <c r="D16" s="502"/>
      <c r="E16" s="503"/>
      <c r="F16" s="503"/>
      <c r="G16" s="490"/>
    </row>
    <row r="17" customFormat="false" ht="6.75" hidden="false" customHeight="true" outlineLevel="0" collapsed="false">
      <c r="G17" s="490"/>
    </row>
    <row r="18" customFormat="false" ht="18.75" hidden="false" customHeight="false" outlineLevel="0" collapsed="false">
      <c r="A18" s="504" t="s">
        <v>170</v>
      </c>
      <c r="B18" s="505" t="n">
        <v>300</v>
      </c>
      <c r="C18" s="506" t="n">
        <v>0.8</v>
      </c>
      <c r="D18" s="507" t="n">
        <v>37</v>
      </c>
      <c r="G18" s="490"/>
    </row>
    <row r="19" customFormat="false" ht="12.75" hidden="false" customHeight="false" outlineLevel="0" collapsed="false">
      <c r="A19" s="354" t="s">
        <v>171</v>
      </c>
      <c r="B19" s="354" t="s">
        <v>172</v>
      </c>
      <c r="C19" s="508"/>
      <c r="G19" s="490"/>
    </row>
    <row r="20" customFormat="false" ht="22.5" hidden="false" customHeight="true" outlineLevel="0" collapsed="false">
      <c r="A20" s="509" t="n">
        <f aca="false">B18*3.142+57.4</f>
        <v>1000</v>
      </c>
      <c r="B20" s="509" t="n">
        <v>1000</v>
      </c>
      <c r="C20" s="510" t="n">
        <f aca="false">A20*B20*C18*8/1000000</f>
        <v>6.4</v>
      </c>
      <c r="D20" s="511" t="n">
        <f aca="false">C20*D18*E20</f>
        <v>710.4</v>
      </c>
      <c r="E20" s="0" t="n">
        <v>3</v>
      </c>
      <c r="F20" s="512"/>
      <c r="G20" s="490"/>
    </row>
    <row r="21" customFormat="false" ht="12.75" hidden="false" customHeight="false" outlineLevel="0" collapsed="false">
      <c r="G21" s="490"/>
    </row>
    <row r="22" customFormat="false" ht="18.75" hidden="false" customHeight="false" outlineLevel="0" collapsed="false">
      <c r="A22" s="504" t="s">
        <v>173</v>
      </c>
      <c r="B22" s="513" t="n">
        <v>300</v>
      </c>
      <c r="C22" s="506" t="n">
        <v>0.8</v>
      </c>
      <c r="D22" s="507" t="n">
        <v>37</v>
      </c>
      <c r="G22" s="490"/>
    </row>
    <row r="23" customFormat="false" ht="22.5" hidden="false" customHeight="true" outlineLevel="0" collapsed="false">
      <c r="A23" s="509" t="n">
        <f aca="false">B22*3.142+57.4</f>
        <v>1000</v>
      </c>
      <c r="B23" s="509" t="n">
        <v>500</v>
      </c>
      <c r="C23" s="510" t="n">
        <f aca="false">A23*B23*C22*8/1000000</f>
        <v>3.2</v>
      </c>
      <c r="D23" s="511" t="n">
        <f aca="false">C23*D22*E23</f>
        <v>355.2</v>
      </c>
      <c r="E23" s="0" t="n">
        <v>3</v>
      </c>
      <c r="F23" s="514"/>
      <c r="G23" s="490"/>
    </row>
    <row r="24" customFormat="false" ht="12.75" hidden="false" customHeight="false" outlineLevel="0" collapsed="false">
      <c r="G24" s="490"/>
    </row>
    <row r="25" customFormat="false" ht="18.75" hidden="false" customHeight="false" outlineLevel="0" collapsed="false">
      <c r="A25" s="504" t="s">
        <v>174</v>
      </c>
      <c r="B25" s="515"/>
      <c r="C25" s="506" t="n">
        <v>1.2</v>
      </c>
      <c r="D25" s="507" t="n">
        <v>35</v>
      </c>
      <c r="G25" s="490"/>
    </row>
    <row r="26" customFormat="false" ht="22.5" hidden="false" customHeight="true" outlineLevel="0" collapsed="false">
      <c r="A26" s="509" t="n">
        <v>900</v>
      </c>
      <c r="B26" s="509" t="n">
        <v>200</v>
      </c>
      <c r="C26" s="516" t="n">
        <f aca="false">A26*B26*C25*8/1000000</f>
        <v>1.728</v>
      </c>
      <c r="D26" s="511" t="n">
        <f aca="false">C26*D25*E26</f>
        <v>181.44</v>
      </c>
      <c r="E26" s="0" t="n">
        <v>3</v>
      </c>
      <c r="G26" s="490"/>
    </row>
  </sheetData>
  <mergeCells count="8">
    <mergeCell ref="A1:F1"/>
    <mergeCell ref="G1:G26"/>
    <mergeCell ref="A5:F5"/>
    <mergeCell ref="D7:D9"/>
    <mergeCell ref="E7:F9"/>
    <mergeCell ref="A11:F11"/>
    <mergeCell ref="D13:D16"/>
    <mergeCell ref="E13:F16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IW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9.28125" defaultRowHeight="15" customHeight="false" zeroHeight="false" outlineLevelRow="0" outlineLevelCol="0"/>
  <cols>
    <col collapsed="false" customWidth="true" hidden="false" outlineLevel="0" max="1" min="1" style="517" width="14.7"/>
    <col collapsed="false" customWidth="true" hidden="false" outlineLevel="0" max="2" min="2" style="518" width="5.56"/>
    <col collapsed="false" customWidth="true" hidden="false" outlineLevel="0" max="3" min="3" style="517" width="14.7"/>
    <col collapsed="false" customWidth="true" hidden="false" outlineLevel="0" max="4" min="4" style="518" width="10.71"/>
    <col collapsed="false" customWidth="true" hidden="false" outlineLevel="0" max="5" min="5" style="518" width="19.28"/>
    <col collapsed="false" customWidth="true" hidden="false" outlineLevel="0" max="6" min="6" style="518" width="13.41"/>
    <col collapsed="false" customWidth="true" hidden="false" outlineLevel="0" max="7" min="7" style="518" width="14.99"/>
    <col collapsed="false" customWidth="false" hidden="false" outlineLevel="0" max="257" min="8" style="518" width="9.28"/>
  </cols>
  <sheetData>
    <row r="1" customFormat="false" ht="38.25" hidden="false" customHeight="true" outlineLevel="0" collapsed="false">
      <c r="A1" s="519" t="s">
        <v>7</v>
      </c>
      <c r="B1" s="519"/>
      <c r="C1" s="519"/>
      <c r="D1" s="519"/>
      <c r="E1" s="519"/>
    </row>
    <row r="2" customFormat="false" ht="12.75" hidden="false" customHeight="false" outlineLevel="0" collapsed="false">
      <c r="A2" s="520" t="s">
        <v>80</v>
      </c>
      <c r="B2" s="521"/>
      <c r="C2" s="521" t="s">
        <v>100</v>
      </c>
      <c r="D2" s="521" t="s">
        <v>82</v>
      </c>
      <c r="E2" s="522" t="s">
        <v>175</v>
      </c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3"/>
      <c r="AQ2" s="523"/>
      <c r="AR2" s="523"/>
      <c r="AS2" s="523"/>
      <c r="AT2" s="523"/>
      <c r="AU2" s="523"/>
      <c r="AV2" s="523"/>
      <c r="AW2" s="523"/>
      <c r="AX2" s="523"/>
      <c r="AY2" s="523"/>
      <c r="AZ2" s="523"/>
      <c r="BA2" s="523"/>
      <c r="BB2" s="523"/>
      <c r="BC2" s="523"/>
      <c r="BD2" s="523"/>
      <c r="BE2" s="523"/>
      <c r="BF2" s="523"/>
      <c r="BG2" s="523"/>
      <c r="BH2" s="523"/>
      <c r="BI2" s="523"/>
      <c r="BJ2" s="523"/>
      <c r="BK2" s="523"/>
      <c r="BL2" s="523"/>
      <c r="BM2" s="523"/>
      <c r="BN2" s="523"/>
      <c r="BO2" s="523"/>
      <c r="BP2" s="523"/>
      <c r="BQ2" s="523"/>
      <c r="BR2" s="523"/>
      <c r="BS2" s="523"/>
      <c r="BT2" s="523"/>
      <c r="BU2" s="523"/>
      <c r="BV2" s="523"/>
      <c r="BW2" s="523"/>
      <c r="BX2" s="523"/>
      <c r="BY2" s="523"/>
      <c r="BZ2" s="523"/>
      <c r="CA2" s="523"/>
      <c r="CB2" s="523"/>
      <c r="CC2" s="523"/>
      <c r="CD2" s="523"/>
      <c r="CE2" s="523"/>
      <c r="CF2" s="523"/>
      <c r="CG2" s="523"/>
      <c r="CH2" s="523"/>
      <c r="CI2" s="523"/>
      <c r="CJ2" s="523"/>
      <c r="CK2" s="523"/>
      <c r="CL2" s="523"/>
      <c r="CM2" s="523"/>
      <c r="CN2" s="523"/>
      <c r="CO2" s="523"/>
      <c r="CP2" s="523"/>
      <c r="CQ2" s="523"/>
      <c r="CR2" s="523"/>
      <c r="CS2" s="523"/>
      <c r="CT2" s="523"/>
      <c r="CU2" s="523"/>
      <c r="CV2" s="523"/>
      <c r="CW2" s="523"/>
      <c r="CX2" s="523"/>
      <c r="CY2" s="523"/>
      <c r="CZ2" s="523"/>
      <c r="DA2" s="523"/>
      <c r="DB2" s="523"/>
      <c r="DC2" s="523"/>
      <c r="DD2" s="523"/>
      <c r="DE2" s="523"/>
      <c r="DF2" s="523"/>
      <c r="DG2" s="523"/>
      <c r="DH2" s="523"/>
      <c r="DI2" s="523"/>
      <c r="DJ2" s="523"/>
      <c r="DK2" s="523"/>
      <c r="DL2" s="523"/>
      <c r="DM2" s="523"/>
      <c r="DN2" s="523"/>
      <c r="DO2" s="523"/>
      <c r="DP2" s="523"/>
      <c r="DQ2" s="523"/>
      <c r="DR2" s="523"/>
      <c r="DS2" s="523"/>
      <c r="DT2" s="523"/>
      <c r="DU2" s="523"/>
      <c r="DV2" s="523"/>
      <c r="DW2" s="523"/>
      <c r="DX2" s="523"/>
      <c r="DY2" s="523"/>
      <c r="DZ2" s="523"/>
      <c r="EA2" s="523"/>
      <c r="EB2" s="523"/>
      <c r="EC2" s="523"/>
      <c r="ED2" s="523"/>
      <c r="EE2" s="523"/>
      <c r="EF2" s="523"/>
      <c r="EG2" s="523"/>
      <c r="EH2" s="523"/>
      <c r="EI2" s="523"/>
      <c r="EJ2" s="523"/>
      <c r="EK2" s="523"/>
      <c r="EL2" s="523"/>
      <c r="EM2" s="523"/>
      <c r="EN2" s="523"/>
      <c r="EO2" s="523"/>
      <c r="EP2" s="523"/>
      <c r="EQ2" s="523"/>
      <c r="ER2" s="523"/>
      <c r="ES2" s="523"/>
      <c r="ET2" s="523"/>
      <c r="EU2" s="523"/>
      <c r="EV2" s="523"/>
      <c r="EW2" s="523"/>
      <c r="EX2" s="523"/>
      <c r="EY2" s="523"/>
      <c r="EZ2" s="523"/>
      <c r="FA2" s="523"/>
      <c r="FB2" s="523"/>
      <c r="FC2" s="523"/>
      <c r="FD2" s="523"/>
      <c r="FE2" s="523"/>
      <c r="FF2" s="523"/>
      <c r="FG2" s="523"/>
      <c r="FH2" s="523"/>
      <c r="FI2" s="523"/>
      <c r="FJ2" s="523"/>
      <c r="FK2" s="523"/>
      <c r="FL2" s="523"/>
      <c r="FM2" s="523"/>
      <c r="FN2" s="523"/>
      <c r="FO2" s="523"/>
      <c r="FP2" s="523"/>
      <c r="FQ2" s="523"/>
      <c r="FR2" s="523"/>
      <c r="FS2" s="523"/>
      <c r="FT2" s="523"/>
      <c r="FU2" s="523"/>
      <c r="FV2" s="523"/>
      <c r="FW2" s="523"/>
      <c r="FX2" s="523"/>
      <c r="FY2" s="523"/>
      <c r="FZ2" s="523"/>
      <c r="GA2" s="523"/>
      <c r="GB2" s="523"/>
      <c r="GC2" s="523"/>
      <c r="GD2" s="523"/>
      <c r="GE2" s="523"/>
      <c r="GF2" s="523"/>
      <c r="GG2" s="523"/>
      <c r="GH2" s="523"/>
      <c r="GI2" s="523"/>
      <c r="GJ2" s="523"/>
      <c r="GK2" s="523"/>
      <c r="GL2" s="523"/>
      <c r="GM2" s="523"/>
      <c r="GN2" s="523"/>
      <c r="GO2" s="523"/>
      <c r="GP2" s="523"/>
      <c r="GQ2" s="523"/>
      <c r="GR2" s="523"/>
      <c r="GS2" s="523"/>
      <c r="GT2" s="523"/>
      <c r="GU2" s="523"/>
      <c r="GV2" s="523"/>
      <c r="GW2" s="523"/>
      <c r="GX2" s="523"/>
      <c r="GY2" s="523"/>
      <c r="GZ2" s="523"/>
      <c r="HA2" s="523"/>
      <c r="HB2" s="523"/>
      <c r="HC2" s="523"/>
      <c r="HD2" s="523"/>
      <c r="HE2" s="523"/>
      <c r="HF2" s="523"/>
      <c r="HG2" s="523"/>
      <c r="HH2" s="523"/>
      <c r="HI2" s="523"/>
      <c r="HJ2" s="523"/>
      <c r="HK2" s="523"/>
      <c r="HL2" s="523"/>
      <c r="HM2" s="523"/>
      <c r="HN2" s="523"/>
      <c r="HO2" s="523"/>
      <c r="HP2" s="523"/>
      <c r="HQ2" s="523"/>
      <c r="HR2" s="523"/>
      <c r="HS2" s="523"/>
      <c r="HT2" s="523"/>
      <c r="HU2" s="523"/>
      <c r="HV2" s="523"/>
      <c r="HW2" s="523"/>
      <c r="HX2" s="523"/>
      <c r="HY2" s="523"/>
      <c r="HZ2" s="523"/>
      <c r="IA2" s="523"/>
      <c r="IB2" s="523"/>
      <c r="IC2" s="523"/>
      <c r="ID2" s="523"/>
      <c r="IE2" s="523"/>
      <c r="IF2" s="523"/>
      <c r="IG2" s="523"/>
      <c r="IH2" s="523"/>
      <c r="II2" s="523"/>
      <c r="IJ2" s="523"/>
      <c r="IK2" s="523"/>
      <c r="IL2" s="523"/>
      <c r="IM2" s="523"/>
      <c r="IN2" s="523"/>
      <c r="IO2" s="523"/>
      <c r="IP2" s="523"/>
      <c r="IQ2" s="523"/>
      <c r="IR2" s="523"/>
      <c r="IS2" s="523"/>
      <c r="IT2" s="523"/>
      <c r="IU2" s="523"/>
      <c r="IV2" s="523"/>
      <c r="IW2" s="523"/>
    </row>
    <row r="3" customFormat="false" ht="24.75" hidden="false" customHeight="true" outlineLevel="0" collapsed="false">
      <c r="A3" s="524" t="n">
        <v>120</v>
      </c>
      <c r="B3" s="525"/>
      <c r="C3" s="526" t="n">
        <v>120</v>
      </c>
      <c r="D3" s="525" t="n">
        <v>1.2</v>
      </c>
      <c r="E3" s="527" t="n">
        <v>37</v>
      </c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  <c r="W3" s="528"/>
      <c r="X3" s="528"/>
      <c r="Y3" s="528"/>
      <c r="Z3" s="528"/>
      <c r="AA3" s="528"/>
      <c r="AB3" s="528"/>
      <c r="AC3" s="528"/>
      <c r="AD3" s="528"/>
      <c r="AE3" s="528"/>
      <c r="AF3" s="528"/>
      <c r="AG3" s="528"/>
      <c r="AH3" s="528"/>
      <c r="AI3" s="528"/>
      <c r="AJ3" s="528"/>
      <c r="AK3" s="528"/>
      <c r="AL3" s="528"/>
      <c r="AM3" s="528"/>
      <c r="AN3" s="528"/>
      <c r="AO3" s="528"/>
      <c r="AP3" s="528"/>
      <c r="AQ3" s="528"/>
      <c r="AR3" s="528"/>
      <c r="AS3" s="528"/>
      <c r="AT3" s="528"/>
      <c r="AU3" s="528"/>
      <c r="AV3" s="528"/>
      <c r="AW3" s="528"/>
      <c r="AX3" s="528"/>
      <c r="AY3" s="528"/>
      <c r="AZ3" s="528"/>
      <c r="BA3" s="528"/>
      <c r="BB3" s="528"/>
      <c r="BC3" s="528"/>
      <c r="BD3" s="528"/>
      <c r="BE3" s="528"/>
      <c r="BF3" s="528"/>
      <c r="BG3" s="528"/>
      <c r="BH3" s="528"/>
      <c r="BI3" s="528"/>
      <c r="BJ3" s="528"/>
      <c r="BK3" s="528"/>
      <c r="BL3" s="528"/>
      <c r="BM3" s="528"/>
      <c r="BN3" s="528"/>
      <c r="BO3" s="528"/>
      <c r="BP3" s="528"/>
      <c r="BQ3" s="528"/>
      <c r="BR3" s="528"/>
      <c r="BS3" s="528"/>
      <c r="BT3" s="528"/>
      <c r="BU3" s="528"/>
      <c r="BV3" s="528"/>
      <c r="BW3" s="528"/>
      <c r="BX3" s="528"/>
      <c r="BY3" s="528"/>
      <c r="BZ3" s="528"/>
      <c r="CA3" s="528"/>
      <c r="CB3" s="528"/>
      <c r="CC3" s="528"/>
      <c r="CD3" s="528"/>
      <c r="CE3" s="528"/>
      <c r="CF3" s="528"/>
      <c r="CG3" s="528"/>
      <c r="CH3" s="528"/>
      <c r="CI3" s="528"/>
      <c r="CJ3" s="528"/>
      <c r="CK3" s="528"/>
      <c r="CL3" s="528"/>
      <c r="CM3" s="528"/>
      <c r="CN3" s="528"/>
      <c r="CO3" s="528"/>
      <c r="CP3" s="528"/>
      <c r="CQ3" s="528"/>
      <c r="CR3" s="528"/>
      <c r="CS3" s="528"/>
      <c r="CT3" s="528"/>
      <c r="CU3" s="528"/>
      <c r="CV3" s="528"/>
      <c r="CW3" s="528"/>
      <c r="CX3" s="528"/>
      <c r="CY3" s="528"/>
      <c r="CZ3" s="528"/>
      <c r="DA3" s="528"/>
      <c r="DB3" s="528"/>
      <c r="DC3" s="528"/>
      <c r="DD3" s="528"/>
      <c r="DE3" s="528"/>
      <c r="DF3" s="528"/>
      <c r="DG3" s="528"/>
      <c r="DH3" s="528"/>
      <c r="DI3" s="528"/>
      <c r="DJ3" s="528"/>
      <c r="DK3" s="528"/>
      <c r="DL3" s="528"/>
      <c r="DM3" s="528"/>
      <c r="DN3" s="528"/>
      <c r="DO3" s="528"/>
      <c r="DP3" s="528"/>
      <c r="DQ3" s="528"/>
      <c r="DR3" s="528"/>
      <c r="DS3" s="528"/>
      <c r="DT3" s="528"/>
      <c r="DU3" s="528"/>
      <c r="DV3" s="528"/>
      <c r="DW3" s="528"/>
      <c r="DX3" s="528"/>
      <c r="DY3" s="528"/>
      <c r="DZ3" s="528"/>
      <c r="EA3" s="528"/>
      <c r="EB3" s="528"/>
      <c r="EC3" s="528"/>
      <c r="ED3" s="528"/>
      <c r="EE3" s="528"/>
      <c r="EF3" s="528"/>
      <c r="EG3" s="528"/>
      <c r="EH3" s="528"/>
      <c r="EI3" s="528"/>
      <c r="EJ3" s="528"/>
      <c r="EK3" s="528"/>
      <c r="EL3" s="528"/>
      <c r="EM3" s="528"/>
      <c r="EN3" s="528"/>
      <c r="EO3" s="528"/>
      <c r="EP3" s="528"/>
      <c r="EQ3" s="528"/>
      <c r="ER3" s="528"/>
      <c r="ES3" s="528"/>
      <c r="ET3" s="528"/>
      <c r="EU3" s="528"/>
      <c r="EV3" s="528"/>
      <c r="EW3" s="528"/>
      <c r="EX3" s="528"/>
      <c r="EY3" s="528"/>
      <c r="EZ3" s="528"/>
      <c r="FA3" s="528"/>
      <c r="FB3" s="528"/>
      <c r="FC3" s="528"/>
      <c r="FD3" s="528"/>
      <c r="FE3" s="528"/>
      <c r="FF3" s="528"/>
      <c r="FG3" s="528"/>
      <c r="FH3" s="528"/>
      <c r="FI3" s="528"/>
      <c r="FJ3" s="528"/>
      <c r="FK3" s="528"/>
      <c r="FL3" s="528"/>
      <c r="FM3" s="528"/>
      <c r="FN3" s="528"/>
      <c r="FO3" s="528"/>
      <c r="FP3" s="528"/>
      <c r="FQ3" s="528"/>
      <c r="FR3" s="528"/>
      <c r="FS3" s="528"/>
      <c r="FT3" s="528"/>
      <c r="FU3" s="528"/>
      <c r="FV3" s="528"/>
      <c r="FW3" s="528"/>
      <c r="FX3" s="528"/>
      <c r="FY3" s="528"/>
      <c r="FZ3" s="528"/>
      <c r="GA3" s="528"/>
      <c r="GB3" s="528"/>
      <c r="GC3" s="528"/>
      <c r="GD3" s="528"/>
      <c r="GE3" s="528"/>
      <c r="GF3" s="528"/>
      <c r="GG3" s="528"/>
      <c r="GH3" s="528"/>
      <c r="GI3" s="528"/>
      <c r="GJ3" s="528"/>
      <c r="GK3" s="528"/>
      <c r="GL3" s="528"/>
      <c r="GM3" s="528"/>
      <c r="GN3" s="528"/>
      <c r="GO3" s="528"/>
      <c r="GP3" s="528"/>
      <c r="GQ3" s="528"/>
      <c r="GR3" s="528"/>
      <c r="GS3" s="528"/>
      <c r="GT3" s="528"/>
      <c r="GU3" s="528"/>
      <c r="GV3" s="528"/>
      <c r="GW3" s="528"/>
      <c r="GX3" s="528"/>
      <c r="GY3" s="528"/>
      <c r="GZ3" s="528"/>
      <c r="HA3" s="528"/>
      <c r="HB3" s="528"/>
      <c r="HC3" s="528"/>
      <c r="HD3" s="528"/>
      <c r="HE3" s="528"/>
      <c r="HF3" s="528"/>
      <c r="HG3" s="528"/>
      <c r="HH3" s="528"/>
      <c r="HI3" s="528"/>
      <c r="HJ3" s="528"/>
      <c r="HK3" s="528"/>
      <c r="HL3" s="528"/>
      <c r="HM3" s="528"/>
      <c r="HN3" s="528"/>
      <c r="HO3" s="528"/>
      <c r="HP3" s="528"/>
      <c r="HQ3" s="528"/>
      <c r="HR3" s="528"/>
      <c r="HS3" s="528"/>
      <c r="HT3" s="528"/>
      <c r="HU3" s="528"/>
      <c r="HV3" s="528"/>
      <c r="HW3" s="528"/>
      <c r="HX3" s="528"/>
      <c r="HY3" s="528"/>
      <c r="HZ3" s="528"/>
      <c r="IA3" s="528"/>
      <c r="IB3" s="528"/>
      <c r="IC3" s="528"/>
      <c r="ID3" s="528"/>
      <c r="IE3" s="528"/>
      <c r="IF3" s="528"/>
      <c r="IG3" s="528"/>
      <c r="IH3" s="528"/>
      <c r="II3" s="528"/>
      <c r="IJ3" s="528"/>
      <c r="IK3" s="528"/>
      <c r="IL3" s="528"/>
      <c r="IM3" s="528"/>
      <c r="IN3" s="528"/>
      <c r="IO3" s="528"/>
      <c r="IP3" s="528"/>
      <c r="IQ3" s="528"/>
      <c r="IR3" s="528"/>
      <c r="IS3" s="528"/>
      <c r="IT3" s="528"/>
      <c r="IU3" s="528"/>
      <c r="IV3" s="528"/>
      <c r="IW3" s="528"/>
    </row>
    <row r="4" customFormat="false" ht="15" hidden="false" customHeight="false" outlineLevel="0" collapsed="false">
      <c r="A4" s="529"/>
      <c r="B4" s="530"/>
      <c r="C4" s="531" t="s">
        <v>84</v>
      </c>
      <c r="D4" s="530" t="s">
        <v>82</v>
      </c>
      <c r="E4" s="532"/>
    </row>
    <row r="5" customFormat="false" ht="26.25" hidden="false" customHeight="false" outlineLevel="0" collapsed="false">
      <c r="A5" s="533" t="n">
        <f aca="false">A3*C3*D3/1000000*8</f>
        <v>0.13824</v>
      </c>
      <c r="B5" s="534"/>
      <c r="C5" s="535" t="n">
        <v>3.5</v>
      </c>
      <c r="D5" s="536" t="n">
        <f aca="false">A5*E3*C5</f>
        <v>17.90208</v>
      </c>
      <c r="E5" s="536"/>
    </row>
    <row r="6" customFormat="false" ht="15.75" hidden="false" customHeight="false" outlineLevel="0" collapsed="false"/>
    <row r="7" customFormat="false" ht="19.5" hidden="false" customHeight="true" outlineLevel="0" collapsed="false">
      <c r="A7" s="537" t="s">
        <v>176</v>
      </c>
      <c r="B7" s="537"/>
      <c r="C7" s="537"/>
      <c r="D7" s="537"/>
      <c r="E7" s="537"/>
      <c r="F7" s="537"/>
      <c r="G7" s="537"/>
    </row>
    <row r="8" customFormat="false" ht="15.75" hidden="false" customHeight="true" outlineLevel="0" collapsed="false">
      <c r="A8" s="538"/>
      <c r="B8" s="538"/>
      <c r="D8" s="517"/>
      <c r="E8" s="517"/>
      <c r="F8" s="539"/>
    </row>
    <row r="9" customFormat="false" ht="17.25" hidden="false" customHeight="true" outlineLevel="0" collapsed="false">
      <c r="A9" s="540" t="s">
        <v>177</v>
      </c>
      <c r="B9" s="541" t="s">
        <v>136</v>
      </c>
      <c r="C9" s="542" t="s">
        <v>178</v>
      </c>
      <c r="D9" s="543" t="s">
        <v>136</v>
      </c>
      <c r="E9" s="542" t="s">
        <v>29</v>
      </c>
      <c r="F9" s="542" t="s">
        <v>82</v>
      </c>
      <c r="G9" s="542" t="s">
        <v>7</v>
      </c>
    </row>
    <row r="10" customFormat="false" ht="20.25" hidden="false" customHeight="false" outlineLevel="0" collapsed="false">
      <c r="A10" s="544" t="n">
        <v>1200</v>
      </c>
      <c r="B10" s="541"/>
      <c r="C10" s="545" t="n">
        <v>380</v>
      </c>
      <c r="D10" s="543"/>
      <c r="E10" s="545" t="n">
        <v>110</v>
      </c>
      <c r="F10" s="546" t="n">
        <v>1.2</v>
      </c>
      <c r="G10" s="547" t="n">
        <v>47</v>
      </c>
    </row>
    <row r="11" customFormat="false" ht="15.75" hidden="false" customHeight="false" outlineLevel="0" collapsed="false">
      <c r="A11" s="548" t="n">
        <f aca="false">SUM(A10*C10)/1000</f>
        <v>456</v>
      </c>
      <c r="B11" s="549" t="n">
        <f aca="false">SUM(A11*E10)/1000</f>
        <v>50.16</v>
      </c>
      <c r="C11" s="548" t="n">
        <f aca="false">SUM(B11*F10)*8/1000</f>
        <v>0.481536</v>
      </c>
      <c r="D11" s="550" t="n">
        <f aca="false">SUM(C11*G10)</f>
        <v>22.632192</v>
      </c>
      <c r="E11" s="550"/>
      <c r="F11" s="551" t="n">
        <f aca="false">SUM(D11:D12)</f>
        <v>124.8632832</v>
      </c>
    </row>
    <row r="12" customFormat="false" ht="26.25" hidden="false" customHeight="false" outlineLevel="0" collapsed="false">
      <c r="A12" s="548" t="n">
        <f aca="false">SUM(C10)+96</f>
        <v>476</v>
      </c>
      <c r="B12" s="549" t="n">
        <f aca="false">SUM(A12*A12)/1000</f>
        <v>226.576</v>
      </c>
      <c r="C12" s="552" t="n">
        <f aca="false">SUM(B12*F10)*8/1000</f>
        <v>2.1751296</v>
      </c>
      <c r="D12" s="553" t="n">
        <f aca="false">SUM(C12*G10)</f>
        <v>102.2310912</v>
      </c>
      <c r="E12" s="554" t="s">
        <v>179</v>
      </c>
      <c r="F12" s="555" t="n">
        <f aca="false">SUM(F11)*3.5</f>
        <v>437.0214912</v>
      </c>
      <c r="G12" s="555"/>
    </row>
    <row r="14" customFormat="false" ht="21.75" hidden="false" customHeight="false" outlineLevel="0" collapsed="false">
      <c r="A14" s="556" t="s">
        <v>180</v>
      </c>
      <c r="B14" s="556"/>
      <c r="C14" s="556"/>
      <c r="D14" s="556"/>
      <c r="E14" s="556"/>
      <c r="F14" s="556"/>
      <c r="G14" s="556"/>
    </row>
    <row r="15" customFormat="false" ht="15" hidden="false" customHeight="true" outlineLevel="0" collapsed="false">
      <c r="A15" s="557" t="s">
        <v>181</v>
      </c>
      <c r="B15" s="557"/>
      <c r="C15" s="557"/>
      <c r="D15" s="357"/>
      <c r="E15" s="357"/>
      <c r="F15" s="357"/>
      <c r="G15" s="357"/>
    </row>
    <row r="16" customFormat="false" ht="15" hidden="false" customHeight="false" outlineLevel="0" collapsed="false">
      <c r="A16" s="557"/>
      <c r="B16" s="557"/>
      <c r="C16" s="557"/>
      <c r="D16" s="357"/>
      <c r="E16" s="357"/>
      <c r="F16" s="357"/>
      <c r="G16" s="357"/>
    </row>
    <row r="17" customFormat="false" ht="15" hidden="false" customHeight="false" outlineLevel="0" collapsed="false">
      <c r="A17" s="557"/>
      <c r="B17" s="557"/>
      <c r="C17" s="557"/>
      <c r="D17" s="357"/>
      <c r="E17" s="357"/>
      <c r="F17" s="357"/>
      <c r="G17" s="357"/>
    </row>
  </sheetData>
  <mergeCells count="9">
    <mergeCell ref="A1:E1"/>
    <mergeCell ref="D5:E5"/>
    <mergeCell ref="A7:G7"/>
    <mergeCell ref="B9:B10"/>
    <mergeCell ref="D9:D10"/>
    <mergeCell ref="D11:E11"/>
    <mergeCell ref="F12:G12"/>
    <mergeCell ref="A14:G14"/>
    <mergeCell ref="A15:C17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false"/>
  </sheetPr>
  <dimension ref="A1:IW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9.28125" defaultRowHeight="12.75" customHeight="false" zeroHeight="false" outlineLevelRow="0" outlineLevelCol="0"/>
  <cols>
    <col collapsed="false" customWidth="true" hidden="false" outlineLevel="0" max="1" min="1" style="354" width="9.41"/>
    <col collapsed="false" customWidth="true" hidden="false" outlineLevel="0" max="4" min="2" style="354" width="12.28"/>
    <col collapsed="false" customWidth="true" hidden="false" outlineLevel="0" max="5" min="5" style="354" width="16.7"/>
    <col collapsed="false" customWidth="true" hidden="false" outlineLevel="0" max="6" min="6" style="354" width="9.7"/>
    <col collapsed="false" customWidth="true" hidden="false" outlineLevel="0" max="7" min="7" style="354" width="11.7"/>
    <col collapsed="false" customWidth="true" hidden="false" outlineLevel="0" max="8" min="8" style="354" width="2.28"/>
    <col collapsed="false" customWidth="true" hidden="false" outlineLevel="0" max="9" min="9" style="354" width="17.28"/>
    <col collapsed="false" customWidth="true" hidden="false" outlineLevel="0" max="10" min="10" style="354" width="11.42"/>
    <col collapsed="false" customWidth="false" hidden="false" outlineLevel="0" max="257" min="11" style="354" width="9.28"/>
  </cols>
  <sheetData>
    <row r="1" customFormat="false" ht="25.15" hidden="false" customHeight="true" outlineLevel="0" collapsed="false">
      <c r="A1" s="558" t="s">
        <v>182</v>
      </c>
      <c r="B1" s="558"/>
      <c r="C1" s="558"/>
      <c r="D1" s="558"/>
      <c r="E1" s="558"/>
      <c r="F1" s="558"/>
      <c r="G1" s="558"/>
    </row>
    <row r="2" customFormat="false" ht="20.1" hidden="false" customHeight="true" outlineLevel="0" collapsed="false">
      <c r="A2" s="559"/>
      <c r="B2" s="560" t="s">
        <v>80</v>
      </c>
      <c r="C2" s="560" t="s">
        <v>100</v>
      </c>
      <c r="D2" s="560" t="s">
        <v>29</v>
      </c>
      <c r="E2" s="367"/>
      <c r="F2" s="561" t="s">
        <v>82</v>
      </c>
      <c r="G2" s="561" t="s">
        <v>36</v>
      </c>
      <c r="I2" s="562" t="s">
        <v>183</v>
      </c>
      <c r="J2" s="563"/>
    </row>
    <row r="3" customFormat="false" ht="20.1" hidden="false" customHeight="true" outlineLevel="0" collapsed="false">
      <c r="A3" s="564" t="s">
        <v>34</v>
      </c>
      <c r="B3" s="360" t="n">
        <v>1600</v>
      </c>
      <c r="C3" s="360" t="n">
        <v>600</v>
      </c>
      <c r="D3" s="360" t="n">
        <v>1200</v>
      </c>
      <c r="E3" s="367"/>
      <c r="F3" s="565" t="n">
        <v>1.5</v>
      </c>
      <c r="G3" s="566" t="n">
        <v>37</v>
      </c>
      <c r="I3" s="567" t="n">
        <v>30</v>
      </c>
      <c r="J3" s="563"/>
      <c r="K3" s="568" t="s">
        <v>184</v>
      </c>
      <c r="L3" s="568"/>
      <c r="M3" s="568"/>
    </row>
    <row r="4" customFormat="false" ht="15.75" hidden="false" customHeight="true" outlineLevel="0" collapsed="false">
      <c r="A4" s="361"/>
      <c r="B4" s="370" t="n">
        <f aca="false">B3+96</f>
        <v>1696</v>
      </c>
      <c r="C4" s="370" t="n">
        <f aca="false">C3+96</f>
        <v>696</v>
      </c>
      <c r="D4" s="569" t="n">
        <f aca="false">B4*C4*F3*8/1000000</f>
        <v>14.164992</v>
      </c>
      <c r="E4" s="570" t="n">
        <f aca="false">(D4*G3*G6)</f>
        <v>1572.314112</v>
      </c>
      <c r="F4" s="571" t="s">
        <v>185</v>
      </c>
      <c r="G4" s="571"/>
      <c r="I4" s="572"/>
      <c r="J4" s="563"/>
      <c r="K4" s="568"/>
      <c r="L4" s="568"/>
      <c r="M4" s="568"/>
    </row>
    <row r="5" customFormat="false" ht="21.75" hidden="false" customHeight="true" outlineLevel="0" collapsed="false">
      <c r="A5" s="573" t="s">
        <v>186</v>
      </c>
      <c r="B5" s="573"/>
      <c r="C5" s="574" t="n">
        <v>1</v>
      </c>
      <c r="D5" s="575" t="n">
        <f aca="false">D3*C6/1000</f>
        <v>7.2</v>
      </c>
      <c r="E5" s="576" t="n">
        <f aca="false">((D5*F5*G3*2.5))</f>
        <v>999</v>
      </c>
      <c r="F5" s="577" t="n">
        <v>1.5</v>
      </c>
      <c r="G5" s="577"/>
      <c r="I5" s="572"/>
      <c r="K5" s="568"/>
      <c r="L5" s="568"/>
      <c r="M5" s="568"/>
    </row>
    <row r="6" customFormat="false" ht="15.75" hidden="false" customHeight="true" outlineLevel="0" collapsed="false">
      <c r="A6" s="578" t="s">
        <v>187</v>
      </c>
      <c r="B6" s="578"/>
      <c r="C6" s="579" t="n">
        <v>6</v>
      </c>
      <c r="D6" s="580"/>
      <c r="E6" s="580"/>
      <c r="F6" s="581" t="s">
        <v>188</v>
      </c>
      <c r="G6" s="582" t="n">
        <v>3</v>
      </c>
      <c r="I6" s="572"/>
    </row>
    <row r="7" customFormat="false" ht="7.5" hidden="false" customHeight="true" outlineLevel="0" collapsed="false">
      <c r="A7" s="583"/>
      <c r="B7" s="583"/>
      <c r="C7" s="583"/>
      <c r="D7" s="583"/>
      <c r="E7" s="583"/>
      <c r="F7" s="583"/>
      <c r="G7" s="583"/>
      <c r="H7" s="492"/>
      <c r="I7" s="584"/>
      <c r="J7" s="492"/>
      <c r="K7" s="492"/>
      <c r="L7" s="492"/>
      <c r="M7" s="492"/>
      <c r="N7" s="492"/>
      <c r="O7" s="492"/>
      <c r="P7" s="492"/>
      <c r="Q7" s="492"/>
      <c r="R7" s="492"/>
      <c r="S7" s="492"/>
      <c r="T7" s="492"/>
      <c r="U7" s="492"/>
      <c r="V7" s="492"/>
      <c r="W7" s="492"/>
      <c r="X7" s="492"/>
      <c r="Y7" s="492"/>
      <c r="Z7" s="492"/>
      <c r="AA7" s="492"/>
      <c r="AB7" s="492"/>
      <c r="AC7" s="492"/>
      <c r="AD7" s="492"/>
      <c r="AE7" s="492"/>
      <c r="AF7" s="492"/>
      <c r="AG7" s="492"/>
      <c r="AH7" s="492"/>
      <c r="AI7" s="492"/>
      <c r="AJ7" s="492"/>
      <c r="AK7" s="492"/>
      <c r="AL7" s="492"/>
      <c r="AM7" s="492"/>
      <c r="AN7" s="492"/>
      <c r="AO7" s="492"/>
      <c r="AP7" s="492"/>
      <c r="AQ7" s="492"/>
      <c r="AR7" s="492"/>
      <c r="AS7" s="492"/>
      <c r="AT7" s="492"/>
      <c r="AU7" s="492"/>
      <c r="AV7" s="492"/>
      <c r="AW7" s="492"/>
      <c r="AX7" s="492"/>
      <c r="AY7" s="492"/>
      <c r="AZ7" s="492"/>
      <c r="BA7" s="492"/>
      <c r="BB7" s="492"/>
      <c r="BC7" s="492"/>
      <c r="BD7" s="492"/>
      <c r="BE7" s="492"/>
      <c r="BF7" s="492"/>
      <c r="BG7" s="492"/>
      <c r="BH7" s="492"/>
      <c r="BI7" s="492"/>
      <c r="BJ7" s="492"/>
      <c r="BK7" s="492"/>
      <c r="BL7" s="492"/>
      <c r="BM7" s="492"/>
      <c r="BN7" s="492"/>
      <c r="BO7" s="492"/>
      <c r="BP7" s="492"/>
      <c r="BQ7" s="492"/>
      <c r="BR7" s="492"/>
      <c r="BS7" s="492"/>
      <c r="BT7" s="492"/>
      <c r="BU7" s="492"/>
      <c r="BV7" s="492"/>
      <c r="BW7" s="492"/>
      <c r="BX7" s="492"/>
      <c r="BY7" s="492"/>
      <c r="BZ7" s="492"/>
      <c r="CA7" s="492"/>
      <c r="CB7" s="492"/>
      <c r="CC7" s="492"/>
      <c r="CD7" s="492"/>
      <c r="CE7" s="492"/>
      <c r="CF7" s="492"/>
      <c r="CG7" s="492"/>
      <c r="CH7" s="492"/>
      <c r="CI7" s="492"/>
      <c r="CJ7" s="492"/>
      <c r="CK7" s="492"/>
      <c r="CL7" s="492"/>
      <c r="CM7" s="492"/>
      <c r="CN7" s="492"/>
      <c r="CO7" s="492"/>
      <c r="CP7" s="492"/>
      <c r="CQ7" s="492"/>
      <c r="CR7" s="492"/>
      <c r="CS7" s="492"/>
      <c r="CT7" s="492"/>
      <c r="CU7" s="492"/>
      <c r="CV7" s="492"/>
      <c r="CW7" s="492"/>
      <c r="CX7" s="492"/>
      <c r="CY7" s="492"/>
      <c r="CZ7" s="492"/>
      <c r="DA7" s="492"/>
      <c r="DB7" s="492"/>
      <c r="DC7" s="492"/>
      <c r="DD7" s="492"/>
      <c r="DE7" s="492"/>
      <c r="DF7" s="492"/>
      <c r="DG7" s="492"/>
      <c r="DH7" s="492"/>
      <c r="DI7" s="492"/>
      <c r="DJ7" s="492"/>
      <c r="DK7" s="492"/>
      <c r="DL7" s="492"/>
      <c r="DM7" s="492"/>
      <c r="DN7" s="492"/>
      <c r="DO7" s="492"/>
      <c r="DP7" s="492"/>
      <c r="DQ7" s="492"/>
      <c r="DR7" s="492"/>
      <c r="DS7" s="492"/>
      <c r="DT7" s="492"/>
      <c r="DU7" s="492"/>
      <c r="DV7" s="492"/>
      <c r="DW7" s="492"/>
      <c r="DX7" s="492"/>
      <c r="DY7" s="492"/>
      <c r="DZ7" s="492"/>
      <c r="EA7" s="492"/>
      <c r="EB7" s="492"/>
      <c r="EC7" s="492"/>
      <c r="ED7" s="492"/>
      <c r="EE7" s="492"/>
      <c r="EF7" s="492"/>
      <c r="EG7" s="492"/>
      <c r="EH7" s="492"/>
      <c r="EI7" s="492"/>
      <c r="EJ7" s="492"/>
      <c r="EK7" s="492"/>
      <c r="EL7" s="492"/>
      <c r="EM7" s="492"/>
      <c r="EN7" s="492"/>
      <c r="EO7" s="492"/>
      <c r="EP7" s="492"/>
      <c r="EQ7" s="492"/>
      <c r="ER7" s="492"/>
      <c r="ES7" s="492"/>
      <c r="ET7" s="492"/>
      <c r="EU7" s="492"/>
      <c r="EV7" s="492"/>
      <c r="EW7" s="492"/>
      <c r="EX7" s="492"/>
      <c r="EY7" s="492"/>
      <c r="EZ7" s="492"/>
      <c r="FA7" s="492"/>
      <c r="FB7" s="492"/>
      <c r="FC7" s="492"/>
      <c r="FD7" s="492"/>
      <c r="FE7" s="492"/>
      <c r="FF7" s="492"/>
      <c r="FG7" s="492"/>
      <c r="FH7" s="492"/>
      <c r="FI7" s="492"/>
      <c r="FJ7" s="492"/>
      <c r="FK7" s="492"/>
      <c r="FL7" s="492"/>
      <c r="FM7" s="492"/>
      <c r="FN7" s="492"/>
      <c r="FO7" s="492"/>
      <c r="FP7" s="492"/>
      <c r="FQ7" s="492"/>
      <c r="FR7" s="492"/>
      <c r="FS7" s="492"/>
      <c r="FT7" s="492"/>
      <c r="FU7" s="492"/>
      <c r="FV7" s="492"/>
      <c r="FW7" s="492"/>
      <c r="FX7" s="492"/>
      <c r="FY7" s="492"/>
      <c r="FZ7" s="492"/>
      <c r="GA7" s="492"/>
      <c r="GB7" s="492"/>
      <c r="GC7" s="492"/>
      <c r="GD7" s="492"/>
      <c r="GE7" s="492"/>
      <c r="GF7" s="492"/>
      <c r="GG7" s="492"/>
      <c r="GH7" s="492"/>
      <c r="GI7" s="492"/>
      <c r="GJ7" s="492"/>
      <c r="GK7" s="492"/>
      <c r="GL7" s="492"/>
      <c r="GM7" s="492"/>
      <c r="GN7" s="492"/>
      <c r="GO7" s="492"/>
      <c r="GP7" s="492"/>
      <c r="GQ7" s="492"/>
      <c r="GR7" s="492"/>
      <c r="GS7" s="492"/>
      <c r="GT7" s="492"/>
      <c r="GU7" s="492"/>
      <c r="GV7" s="492"/>
      <c r="GW7" s="492"/>
      <c r="GX7" s="492"/>
      <c r="GY7" s="492"/>
      <c r="GZ7" s="492"/>
      <c r="HA7" s="492"/>
      <c r="HB7" s="492"/>
      <c r="HC7" s="492"/>
      <c r="HD7" s="492"/>
      <c r="HE7" s="492"/>
      <c r="HF7" s="492"/>
      <c r="HG7" s="492"/>
      <c r="HH7" s="492"/>
      <c r="HI7" s="492"/>
      <c r="HJ7" s="492"/>
      <c r="HK7" s="492"/>
      <c r="HL7" s="492"/>
      <c r="HM7" s="492"/>
      <c r="HN7" s="492"/>
      <c r="HO7" s="492"/>
      <c r="HP7" s="492"/>
      <c r="HQ7" s="492"/>
      <c r="HR7" s="492"/>
      <c r="HS7" s="492"/>
      <c r="HT7" s="492"/>
      <c r="HU7" s="492"/>
      <c r="HV7" s="492"/>
      <c r="HW7" s="492"/>
      <c r="HX7" s="492"/>
      <c r="HY7" s="492"/>
      <c r="HZ7" s="492"/>
      <c r="IA7" s="492"/>
      <c r="IB7" s="492"/>
      <c r="IC7" s="492"/>
      <c r="ID7" s="492"/>
      <c r="IE7" s="492"/>
      <c r="IF7" s="492"/>
      <c r="IG7" s="492"/>
      <c r="IH7" s="492"/>
      <c r="II7" s="492"/>
      <c r="IJ7" s="492"/>
      <c r="IK7" s="492"/>
      <c r="IL7" s="492"/>
      <c r="IM7" s="492"/>
      <c r="IN7" s="492"/>
      <c r="IO7" s="492"/>
      <c r="IP7" s="492"/>
      <c r="IQ7" s="492"/>
      <c r="IR7" s="492"/>
      <c r="IS7" s="492"/>
      <c r="IT7" s="492"/>
      <c r="IU7" s="492"/>
      <c r="IV7" s="492"/>
      <c r="IW7" s="492"/>
    </row>
    <row r="8" customFormat="false" ht="18.75" hidden="false" customHeight="true" outlineLevel="0" collapsed="false">
      <c r="A8" s="585" t="s">
        <v>189</v>
      </c>
      <c r="B8" s="585"/>
      <c r="C8" s="585"/>
      <c r="D8" s="585"/>
      <c r="E8" s="585"/>
      <c r="F8" s="585"/>
      <c r="G8" s="585"/>
      <c r="I8" s="572"/>
    </row>
    <row r="9" customFormat="false" ht="32.25" hidden="false" customHeight="true" outlineLevel="0" collapsed="false">
      <c r="A9" s="366"/>
      <c r="B9" s="361"/>
      <c r="C9" s="361"/>
      <c r="D9" s="361"/>
      <c r="E9" s="390" t="n">
        <f aca="false">(E4*C5)+E5</f>
        <v>2571.314112</v>
      </c>
      <c r="F9" s="390"/>
      <c r="G9" s="390"/>
      <c r="I9" s="586" t="n">
        <f aca="false">E9/G3*I3</f>
        <v>2084.84928</v>
      </c>
    </row>
    <row r="10" customFormat="false" ht="7.5" hidden="false" customHeight="true" outlineLevel="0" collapsed="false">
      <c r="A10" s="583"/>
      <c r="B10" s="583"/>
      <c r="C10" s="583"/>
      <c r="D10" s="583"/>
      <c r="E10" s="583"/>
      <c r="F10" s="583"/>
      <c r="G10" s="583"/>
      <c r="H10" s="492"/>
      <c r="I10" s="584"/>
      <c r="J10" s="492"/>
      <c r="K10" s="492"/>
      <c r="L10" s="492"/>
      <c r="M10" s="492"/>
      <c r="N10" s="492"/>
      <c r="O10" s="492"/>
      <c r="P10" s="492"/>
      <c r="Q10" s="492"/>
      <c r="R10" s="492"/>
      <c r="S10" s="492"/>
      <c r="T10" s="492"/>
      <c r="U10" s="492"/>
      <c r="V10" s="492"/>
      <c r="W10" s="492"/>
      <c r="X10" s="492"/>
      <c r="Y10" s="492"/>
      <c r="Z10" s="492"/>
      <c r="AA10" s="492"/>
      <c r="AB10" s="492"/>
      <c r="AC10" s="492"/>
      <c r="AD10" s="492"/>
      <c r="AE10" s="492"/>
      <c r="AF10" s="492"/>
      <c r="AG10" s="492"/>
      <c r="AH10" s="492"/>
      <c r="AI10" s="492"/>
      <c r="AJ10" s="492"/>
      <c r="AK10" s="492"/>
      <c r="AL10" s="492"/>
      <c r="AM10" s="492"/>
      <c r="AN10" s="492"/>
      <c r="AO10" s="492"/>
      <c r="AP10" s="492"/>
      <c r="AQ10" s="492"/>
      <c r="AR10" s="492"/>
      <c r="AS10" s="492"/>
      <c r="AT10" s="492"/>
      <c r="AU10" s="492"/>
      <c r="AV10" s="492"/>
      <c r="AW10" s="492"/>
      <c r="AX10" s="492"/>
      <c r="AY10" s="492"/>
      <c r="AZ10" s="492"/>
      <c r="BA10" s="492"/>
      <c r="BB10" s="492"/>
      <c r="BC10" s="492"/>
      <c r="BD10" s="492"/>
      <c r="BE10" s="492"/>
      <c r="BF10" s="492"/>
      <c r="BG10" s="492"/>
      <c r="BH10" s="492"/>
      <c r="BI10" s="492"/>
      <c r="BJ10" s="492"/>
      <c r="BK10" s="492"/>
      <c r="BL10" s="492"/>
      <c r="BM10" s="492"/>
      <c r="BN10" s="492"/>
      <c r="BO10" s="492"/>
      <c r="BP10" s="492"/>
      <c r="BQ10" s="492"/>
      <c r="BR10" s="492"/>
      <c r="BS10" s="492"/>
      <c r="BT10" s="492"/>
      <c r="BU10" s="492"/>
      <c r="BV10" s="492"/>
      <c r="BW10" s="492"/>
      <c r="BX10" s="492"/>
      <c r="BY10" s="492"/>
      <c r="BZ10" s="492"/>
      <c r="CA10" s="492"/>
      <c r="CB10" s="492"/>
      <c r="CC10" s="492"/>
      <c r="CD10" s="492"/>
      <c r="CE10" s="492"/>
      <c r="CF10" s="492"/>
      <c r="CG10" s="492"/>
      <c r="CH10" s="492"/>
      <c r="CI10" s="492"/>
      <c r="CJ10" s="492"/>
      <c r="CK10" s="492"/>
      <c r="CL10" s="492"/>
      <c r="CM10" s="492"/>
      <c r="CN10" s="492"/>
      <c r="CO10" s="492"/>
      <c r="CP10" s="492"/>
      <c r="CQ10" s="492"/>
      <c r="CR10" s="492"/>
      <c r="CS10" s="492"/>
      <c r="CT10" s="492"/>
      <c r="CU10" s="492"/>
      <c r="CV10" s="492"/>
      <c r="CW10" s="492"/>
      <c r="CX10" s="492"/>
      <c r="CY10" s="492"/>
      <c r="CZ10" s="492"/>
      <c r="DA10" s="492"/>
      <c r="DB10" s="492"/>
      <c r="DC10" s="492"/>
      <c r="DD10" s="492"/>
      <c r="DE10" s="492"/>
      <c r="DF10" s="492"/>
      <c r="DG10" s="492"/>
      <c r="DH10" s="492"/>
      <c r="DI10" s="492"/>
      <c r="DJ10" s="492"/>
      <c r="DK10" s="492"/>
      <c r="DL10" s="492"/>
      <c r="DM10" s="492"/>
      <c r="DN10" s="492"/>
      <c r="DO10" s="492"/>
      <c r="DP10" s="492"/>
      <c r="DQ10" s="492"/>
      <c r="DR10" s="492"/>
      <c r="DS10" s="492"/>
      <c r="DT10" s="492"/>
      <c r="DU10" s="492"/>
      <c r="DV10" s="492"/>
      <c r="DW10" s="492"/>
      <c r="DX10" s="492"/>
      <c r="DY10" s="492"/>
      <c r="DZ10" s="492"/>
      <c r="EA10" s="492"/>
      <c r="EB10" s="492"/>
      <c r="EC10" s="492"/>
      <c r="ED10" s="492"/>
      <c r="EE10" s="492"/>
      <c r="EF10" s="492"/>
      <c r="EG10" s="492"/>
      <c r="EH10" s="492"/>
      <c r="EI10" s="492"/>
      <c r="EJ10" s="492"/>
      <c r="EK10" s="492"/>
      <c r="EL10" s="492"/>
      <c r="EM10" s="492"/>
      <c r="EN10" s="492"/>
      <c r="EO10" s="492"/>
      <c r="EP10" s="492"/>
      <c r="EQ10" s="492"/>
      <c r="ER10" s="492"/>
      <c r="ES10" s="492"/>
      <c r="ET10" s="492"/>
      <c r="EU10" s="492"/>
      <c r="EV10" s="492"/>
      <c r="EW10" s="492"/>
      <c r="EX10" s="492"/>
      <c r="EY10" s="492"/>
      <c r="EZ10" s="492"/>
      <c r="FA10" s="492"/>
      <c r="FB10" s="492"/>
      <c r="FC10" s="492"/>
      <c r="FD10" s="492"/>
      <c r="FE10" s="492"/>
      <c r="FF10" s="492"/>
      <c r="FG10" s="492"/>
      <c r="FH10" s="492"/>
      <c r="FI10" s="492"/>
      <c r="FJ10" s="492"/>
      <c r="FK10" s="492"/>
      <c r="FL10" s="492"/>
      <c r="FM10" s="492"/>
      <c r="FN10" s="492"/>
      <c r="FO10" s="492"/>
      <c r="FP10" s="492"/>
      <c r="FQ10" s="492"/>
      <c r="FR10" s="492"/>
      <c r="FS10" s="492"/>
      <c r="FT10" s="492"/>
      <c r="FU10" s="492"/>
      <c r="FV10" s="492"/>
      <c r="FW10" s="492"/>
      <c r="FX10" s="492"/>
      <c r="FY10" s="492"/>
      <c r="FZ10" s="492"/>
      <c r="GA10" s="492"/>
      <c r="GB10" s="492"/>
      <c r="GC10" s="492"/>
      <c r="GD10" s="492"/>
      <c r="GE10" s="492"/>
      <c r="GF10" s="492"/>
      <c r="GG10" s="492"/>
      <c r="GH10" s="492"/>
      <c r="GI10" s="492"/>
      <c r="GJ10" s="492"/>
      <c r="GK10" s="492"/>
      <c r="GL10" s="492"/>
      <c r="GM10" s="492"/>
      <c r="GN10" s="492"/>
      <c r="GO10" s="492"/>
      <c r="GP10" s="492"/>
      <c r="GQ10" s="492"/>
      <c r="GR10" s="492"/>
      <c r="GS10" s="492"/>
      <c r="GT10" s="492"/>
      <c r="GU10" s="492"/>
      <c r="GV10" s="492"/>
      <c r="GW10" s="492"/>
      <c r="GX10" s="492"/>
      <c r="GY10" s="492"/>
      <c r="GZ10" s="492"/>
      <c r="HA10" s="492"/>
      <c r="HB10" s="492"/>
      <c r="HC10" s="492"/>
      <c r="HD10" s="492"/>
      <c r="HE10" s="492"/>
      <c r="HF10" s="492"/>
      <c r="HG10" s="492"/>
      <c r="HH10" s="492"/>
      <c r="HI10" s="492"/>
      <c r="HJ10" s="492"/>
      <c r="HK10" s="492"/>
      <c r="HL10" s="492"/>
      <c r="HM10" s="492"/>
      <c r="HN10" s="492"/>
      <c r="HO10" s="492"/>
      <c r="HP10" s="492"/>
      <c r="HQ10" s="492"/>
      <c r="HR10" s="492"/>
      <c r="HS10" s="492"/>
      <c r="HT10" s="492"/>
      <c r="HU10" s="492"/>
      <c r="HV10" s="492"/>
      <c r="HW10" s="492"/>
      <c r="HX10" s="492"/>
      <c r="HY10" s="492"/>
      <c r="HZ10" s="492"/>
      <c r="IA10" s="492"/>
      <c r="IB10" s="492"/>
      <c r="IC10" s="492"/>
      <c r="ID10" s="492"/>
      <c r="IE10" s="492"/>
      <c r="IF10" s="492"/>
      <c r="IG10" s="492"/>
      <c r="IH10" s="492"/>
      <c r="II10" s="492"/>
      <c r="IJ10" s="492"/>
      <c r="IK10" s="492"/>
      <c r="IL10" s="492"/>
      <c r="IM10" s="492"/>
      <c r="IN10" s="492"/>
      <c r="IO10" s="492"/>
      <c r="IP10" s="492"/>
      <c r="IQ10" s="492"/>
      <c r="IR10" s="492"/>
      <c r="IS10" s="492"/>
      <c r="IT10" s="492"/>
      <c r="IU10" s="492"/>
      <c r="IV10" s="492"/>
      <c r="IW10" s="492"/>
    </row>
    <row r="11" customFormat="false" ht="19.5" hidden="false" customHeight="false" outlineLevel="0" collapsed="false">
      <c r="A11" s="585" t="s">
        <v>126</v>
      </c>
      <c r="B11" s="585"/>
      <c r="C11" s="585"/>
      <c r="D11" s="585"/>
      <c r="E11" s="585"/>
      <c r="F11" s="585"/>
      <c r="G11" s="585"/>
      <c r="H11" s="587"/>
      <c r="I11" s="588"/>
      <c r="J11" s="587"/>
      <c r="K11" s="587"/>
      <c r="L11" s="587"/>
      <c r="M11" s="587"/>
      <c r="N11" s="587"/>
      <c r="O11" s="587"/>
      <c r="P11" s="587"/>
      <c r="Q11" s="587"/>
      <c r="R11" s="587"/>
      <c r="S11" s="587"/>
      <c r="T11" s="587"/>
      <c r="U11" s="587"/>
      <c r="V11" s="587"/>
      <c r="W11" s="587"/>
      <c r="X11" s="587"/>
      <c r="Y11" s="587"/>
      <c r="Z11" s="587"/>
      <c r="AA11" s="587"/>
      <c r="AB11" s="587"/>
      <c r="AC11" s="587"/>
      <c r="AD11" s="587"/>
      <c r="AE11" s="587"/>
      <c r="AF11" s="587"/>
      <c r="AG11" s="587"/>
      <c r="AH11" s="587"/>
      <c r="AI11" s="587"/>
      <c r="AJ11" s="587"/>
      <c r="AK11" s="587"/>
      <c r="AL11" s="587"/>
      <c r="AM11" s="587"/>
      <c r="AN11" s="587"/>
      <c r="AO11" s="587"/>
      <c r="AP11" s="587"/>
      <c r="AQ11" s="587"/>
      <c r="AR11" s="587"/>
      <c r="AS11" s="587"/>
      <c r="AT11" s="587"/>
      <c r="AU11" s="587"/>
      <c r="AV11" s="587"/>
      <c r="AW11" s="587"/>
      <c r="AX11" s="587"/>
      <c r="AY11" s="587"/>
      <c r="AZ11" s="587"/>
      <c r="BA11" s="587"/>
      <c r="BB11" s="587"/>
      <c r="BC11" s="587"/>
      <c r="BD11" s="587"/>
      <c r="BE11" s="587"/>
      <c r="BF11" s="587"/>
      <c r="BG11" s="587"/>
      <c r="BH11" s="587"/>
      <c r="BI11" s="587"/>
      <c r="BJ11" s="587"/>
      <c r="BK11" s="587"/>
      <c r="BL11" s="587"/>
      <c r="BM11" s="587"/>
      <c r="BN11" s="587"/>
      <c r="BO11" s="587"/>
      <c r="BP11" s="587"/>
      <c r="BQ11" s="587"/>
      <c r="BR11" s="587"/>
      <c r="BS11" s="587"/>
      <c r="BT11" s="587"/>
      <c r="BU11" s="587"/>
      <c r="BV11" s="587"/>
      <c r="BW11" s="587"/>
      <c r="BX11" s="587"/>
      <c r="BY11" s="587"/>
      <c r="BZ11" s="587"/>
      <c r="CA11" s="587"/>
      <c r="CB11" s="587"/>
      <c r="CC11" s="587"/>
      <c r="CD11" s="587"/>
      <c r="CE11" s="587"/>
      <c r="CF11" s="587"/>
      <c r="CG11" s="587"/>
      <c r="CH11" s="587"/>
      <c r="CI11" s="587"/>
      <c r="CJ11" s="587"/>
      <c r="CK11" s="587"/>
      <c r="CL11" s="587"/>
      <c r="CM11" s="587"/>
      <c r="CN11" s="587"/>
      <c r="CO11" s="587"/>
      <c r="CP11" s="587"/>
      <c r="CQ11" s="587"/>
      <c r="CR11" s="587"/>
      <c r="CS11" s="587"/>
      <c r="CT11" s="587"/>
      <c r="CU11" s="587"/>
      <c r="CV11" s="587"/>
      <c r="CW11" s="587"/>
      <c r="CX11" s="587"/>
      <c r="CY11" s="587"/>
      <c r="CZ11" s="587"/>
      <c r="DA11" s="587"/>
      <c r="DB11" s="587"/>
      <c r="DC11" s="587"/>
      <c r="DD11" s="587"/>
      <c r="DE11" s="587"/>
      <c r="DF11" s="587"/>
      <c r="DG11" s="587"/>
      <c r="DH11" s="587"/>
      <c r="DI11" s="587"/>
      <c r="DJ11" s="587"/>
      <c r="DK11" s="587"/>
      <c r="DL11" s="587"/>
      <c r="DM11" s="587"/>
      <c r="DN11" s="587"/>
      <c r="DO11" s="587"/>
      <c r="DP11" s="587"/>
      <c r="DQ11" s="587"/>
      <c r="DR11" s="587"/>
      <c r="DS11" s="587"/>
      <c r="DT11" s="587"/>
      <c r="DU11" s="587"/>
      <c r="DV11" s="587"/>
      <c r="DW11" s="587"/>
      <c r="DX11" s="587"/>
      <c r="DY11" s="587"/>
      <c r="DZ11" s="587"/>
      <c r="EA11" s="587"/>
      <c r="EB11" s="587"/>
      <c r="EC11" s="587"/>
      <c r="ED11" s="587"/>
      <c r="EE11" s="587"/>
      <c r="EF11" s="587"/>
      <c r="EG11" s="587"/>
      <c r="EH11" s="587"/>
      <c r="EI11" s="587"/>
      <c r="EJ11" s="587"/>
      <c r="EK11" s="587"/>
      <c r="EL11" s="587"/>
      <c r="EM11" s="587"/>
      <c r="EN11" s="587"/>
      <c r="EO11" s="587"/>
      <c r="EP11" s="587"/>
      <c r="EQ11" s="587"/>
      <c r="ER11" s="587"/>
      <c r="ES11" s="587"/>
      <c r="ET11" s="587"/>
      <c r="EU11" s="587"/>
      <c r="EV11" s="587"/>
      <c r="EW11" s="587"/>
      <c r="EX11" s="587"/>
      <c r="EY11" s="587"/>
      <c r="EZ11" s="587"/>
      <c r="FA11" s="587"/>
      <c r="FB11" s="587"/>
      <c r="FC11" s="587"/>
      <c r="FD11" s="587"/>
      <c r="FE11" s="587"/>
      <c r="FF11" s="587"/>
      <c r="FG11" s="587"/>
      <c r="FH11" s="587"/>
      <c r="FI11" s="587"/>
      <c r="FJ11" s="587"/>
      <c r="FK11" s="587"/>
      <c r="FL11" s="587"/>
      <c r="FM11" s="587"/>
      <c r="FN11" s="587"/>
      <c r="FO11" s="587"/>
      <c r="FP11" s="587"/>
      <c r="FQ11" s="587"/>
      <c r="FR11" s="587"/>
      <c r="FS11" s="587"/>
      <c r="FT11" s="587"/>
      <c r="FU11" s="587"/>
      <c r="FV11" s="587"/>
      <c r="FW11" s="587"/>
      <c r="FX11" s="587"/>
      <c r="FY11" s="587"/>
      <c r="FZ11" s="587"/>
      <c r="GA11" s="587"/>
      <c r="GB11" s="587"/>
      <c r="GC11" s="587"/>
      <c r="GD11" s="587"/>
      <c r="GE11" s="587"/>
      <c r="GF11" s="587"/>
      <c r="GG11" s="587"/>
      <c r="GH11" s="587"/>
      <c r="GI11" s="587"/>
      <c r="GJ11" s="587"/>
      <c r="GK11" s="587"/>
      <c r="GL11" s="587"/>
      <c r="GM11" s="587"/>
      <c r="GN11" s="587"/>
      <c r="GO11" s="587"/>
      <c r="GP11" s="587"/>
      <c r="GQ11" s="587"/>
      <c r="GR11" s="587"/>
      <c r="GS11" s="587"/>
      <c r="GT11" s="587"/>
      <c r="GU11" s="587"/>
      <c r="GV11" s="587"/>
      <c r="GW11" s="587"/>
      <c r="GX11" s="587"/>
      <c r="GY11" s="587"/>
      <c r="GZ11" s="587"/>
      <c r="HA11" s="587"/>
      <c r="HB11" s="587"/>
      <c r="HC11" s="587"/>
      <c r="HD11" s="587"/>
      <c r="HE11" s="587"/>
      <c r="HF11" s="587"/>
      <c r="HG11" s="587"/>
      <c r="HH11" s="587"/>
      <c r="HI11" s="587"/>
      <c r="HJ11" s="587"/>
      <c r="HK11" s="587"/>
      <c r="HL11" s="587"/>
      <c r="HM11" s="587"/>
      <c r="HN11" s="587"/>
      <c r="HO11" s="587"/>
      <c r="HP11" s="587"/>
      <c r="HQ11" s="587"/>
      <c r="HR11" s="587"/>
      <c r="HS11" s="587"/>
      <c r="HT11" s="587"/>
      <c r="HU11" s="587"/>
      <c r="HV11" s="587"/>
      <c r="HW11" s="587"/>
      <c r="HX11" s="587"/>
      <c r="HY11" s="587"/>
      <c r="HZ11" s="587"/>
      <c r="IA11" s="587"/>
      <c r="IB11" s="587"/>
      <c r="IC11" s="587"/>
      <c r="ID11" s="587"/>
      <c r="IE11" s="587"/>
      <c r="IF11" s="587"/>
      <c r="IG11" s="587"/>
      <c r="IH11" s="587"/>
      <c r="II11" s="587"/>
      <c r="IJ11" s="587"/>
      <c r="IK11" s="587"/>
      <c r="IL11" s="587"/>
      <c r="IM11" s="587"/>
      <c r="IN11" s="587"/>
      <c r="IO11" s="587"/>
      <c r="IP11" s="587"/>
      <c r="IQ11" s="587"/>
      <c r="IR11" s="587"/>
      <c r="IS11" s="587"/>
      <c r="IT11" s="587"/>
      <c r="IU11" s="587"/>
      <c r="IV11" s="587"/>
      <c r="IW11" s="587"/>
    </row>
    <row r="12" customFormat="false" ht="35.25" hidden="false" customHeight="true" outlineLevel="0" collapsed="false">
      <c r="A12" s="389"/>
      <c r="B12" s="389"/>
      <c r="C12" s="589"/>
      <c r="D12" s="361"/>
      <c r="E12" s="390" t="n">
        <f aca="false">(E4*C5)/100*110+E5</f>
        <v>2728.5455232</v>
      </c>
      <c r="F12" s="390"/>
      <c r="G12" s="390"/>
      <c r="I12" s="586" t="n">
        <f aca="false">I9/100*110</f>
        <v>2293.334208</v>
      </c>
    </row>
    <row r="13" customFormat="false" ht="7.5" hidden="false" customHeight="true" outlineLevel="0" collapsed="false">
      <c r="A13" s="583"/>
      <c r="B13" s="583"/>
      <c r="C13" s="583"/>
      <c r="D13" s="583"/>
      <c r="E13" s="583"/>
      <c r="F13" s="583"/>
      <c r="G13" s="583"/>
      <c r="H13" s="492"/>
      <c r="I13" s="584"/>
      <c r="J13" s="492"/>
      <c r="K13" s="492"/>
      <c r="L13" s="492"/>
      <c r="M13" s="492"/>
      <c r="N13" s="492"/>
      <c r="O13" s="492"/>
      <c r="P13" s="492"/>
      <c r="Q13" s="492"/>
      <c r="R13" s="492"/>
      <c r="S13" s="492"/>
      <c r="T13" s="492"/>
      <c r="U13" s="492"/>
      <c r="V13" s="492"/>
      <c r="W13" s="492"/>
      <c r="X13" s="492"/>
      <c r="Y13" s="492"/>
      <c r="Z13" s="492"/>
      <c r="AA13" s="492"/>
      <c r="AB13" s="492"/>
      <c r="AC13" s="492"/>
      <c r="AD13" s="492"/>
      <c r="AE13" s="492"/>
      <c r="AF13" s="492"/>
      <c r="AG13" s="492"/>
      <c r="AH13" s="492"/>
      <c r="AI13" s="492"/>
      <c r="AJ13" s="492"/>
      <c r="AK13" s="492"/>
      <c r="AL13" s="492"/>
      <c r="AM13" s="492"/>
      <c r="AN13" s="492"/>
      <c r="AO13" s="492"/>
      <c r="AP13" s="492"/>
      <c r="AQ13" s="492"/>
      <c r="AR13" s="492"/>
      <c r="AS13" s="492"/>
      <c r="AT13" s="492"/>
      <c r="AU13" s="492"/>
      <c r="AV13" s="492"/>
      <c r="AW13" s="492"/>
      <c r="AX13" s="492"/>
      <c r="AY13" s="492"/>
      <c r="AZ13" s="492"/>
      <c r="BA13" s="492"/>
      <c r="BB13" s="492"/>
      <c r="BC13" s="492"/>
      <c r="BD13" s="492"/>
      <c r="BE13" s="492"/>
      <c r="BF13" s="492"/>
      <c r="BG13" s="492"/>
      <c r="BH13" s="492"/>
      <c r="BI13" s="492"/>
      <c r="BJ13" s="492"/>
      <c r="BK13" s="492"/>
      <c r="BL13" s="492"/>
      <c r="BM13" s="492"/>
      <c r="BN13" s="492"/>
      <c r="BO13" s="492"/>
      <c r="BP13" s="492"/>
      <c r="BQ13" s="492"/>
      <c r="BR13" s="492"/>
      <c r="BS13" s="492"/>
      <c r="BT13" s="492"/>
      <c r="BU13" s="492"/>
      <c r="BV13" s="492"/>
      <c r="BW13" s="492"/>
      <c r="BX13" s="492"/>
      <c r="BY13" s="492"/>
      <c r="BZ13" s="492"/>
      <c r="CA13" s="492"/>
      <c r="CB13" s="492"/>
      <c r="CC13" s="492"/>
      <c r="CD13" s="492"/>
      <c r="CE13" s="492"/>
      <c r="CF13" s="492"/>
      <c r="CG13" s="492"/>
      <c r="CH13" s="492"/>
      <c r="CI13" s="492"/>
      <c r="CJ13" s="492"/>
      <c r="CK13" s="492"/>
      <c r="CL13" s="492"/>
      <c r="CM13" s="492"/>
      <c r="CN13" s="492"/>
      <c r="CO13" s="492"/>
      <c r="CP13" s="492"/>
      <c r="CQ13" s="492"/>
      <c r="CR13" s="492"/>
      <c r="CS13" s="492"/>
      <c r="CT13" s="492"/>
      <c r="CU13" s="492"/>
      <c r="CV13" s="492"/>
      <c r="CW13" s="492"/>
      <c r="CX13" s="492"/>
      <c r="CY13" s="492"/>
      <c r="CZ13" s="492"/>
      <c r="DA13" s="492"/>
      <c r="DB13" s="492"/>
      <c r="DC13" s="492"/>
      <c r="DD13" s="492"/>
      <c r="DE13" s="492"/>
      <c r="DF13" s="492"/>
      <c r="DG13" s="492"/>
      <c r="DH13" s="492"/>
      <c r="DI13" s="492"/>
      <c r="DJ13" s="492"/>
      <c r="DK13" s="492"/>
      <c r="DL13" s="492"/>
      <c r="DM13" s="492"/>
      <c r="DN13" s="492"/>
      <c r="DO13" s="492"/>
      <c r="DP13" s="492"/>
      <c r="DQ13" s="492"/>
      <c r="DR13" s="492"/>
      <c r="DS13" s="492"/>
      <c r="DT13" s="492"/>
      <c r="DU13" s="492"/>
      <c r="DV13" s="492"/>
      <c r="DW13" s="492"/>
      <c r="DX13" s="492"/>
      <c r="DY13" s="492"/>
      <c r="DZ13" s="492"/>
      <c r="EA13" s="492"/>
      <c r="EB13" s="492"/>
      <c r="EC13" s="492"/>
      <c r="ED13" s="492"/>
      <c r="EE13" s="492"/>
      <c r="EF13" s="492"/>
      <c r="EG13" s="492"/>
      <c r="EH13" s="492"/>
      <c r="EI13" s="492"/>
      <c r="EJ13" s="492"/>
      <c r="EK13" s="492"/>
      <c r="EL13" s="492"/>
      <c r="EM13" s="492"/>
      <c r="EN13" s="492"/>
      <c r="EO13" s="492"/>
      <c r="EP13" s="492"/>
      <c r="EQ13" s="492"/>
      <c r="ER13" s="492"/>
      <c r="ES13" s="492"/>
      <c r="ET13" s="492"/>
      <c r="EU13" s="492"/>
      <c r="EV13" s="492"/>
      <c r="EW13" s="492"/>
      <c r="EX13" s="492"/>
      <c r="EY13" s="492"/>
      <c r="EZ13" s="492"/>
      <c r="FA13" s="492"/>
      <c r="FB13" s="492"/>
      <c r="FC13" s="492"/>
      <c r="FD13" s="492"/>
      <c r="FE13" s="492"/>
      <c r="FF13" s="492"/>
      <c r="FG13" s="492"/>
      <c r="FH13" s="492"/>
      <c r="FI13" s="492"/>
      <c r="FJ13" s="492"/>
      <c r="FK13" s="492"/>
      <c r="FL13" s="492"/>
      <c r="FM13" s="492"/>
      <c r="FN13" s="492"/>
      <c r="FO13" s="492"/>
      <c r="FP13" s="492"/>
      <c r="FQ13" s="492"/>
      <c r="FR13" s="492"/>
      <c r="FS13" s="492"/>
      <c r="FT13" s="492"/>
      <c r="FU13" s="492"/>
      <c r="FV13" s="492"/>
      <c r="FW13" s="492"/>
      <c r="FX13" s="492"/>
      <c r="FY13" s="492"/>
      <c r="FZ13" s="492"/>
      <c r="GA13" s="492"/>
      <c r="GB13" s="492"/>
      <c r="GC13" s="492"/>
      <c r="GD13" s="492"/>
      <c r="GE13" s="492"/>
      <c r="GF13" s="492"/>
      <c r="GG13" s="492"/>
      <c r="GH13" s="492"/>
      <c r="GI13" s="492"/>
      <c r="GJ13" s="492"/>
      <c r="GK13" s="492"/>
      <c r="GL13" s="492"/>
      <c r="GM13" s="492"/>
      <c r="GN13" s="492"/>
      <c r="GO13" s="492"/>
      <c r="GP13" s="492"/>
      <c r="GQ13" s="492"/>
      <c r="GR13" s="492"/>
      <c r="GS13" s="492"/>
      <c r="GT13" s="492"/>
      <c r="GU13" s="492"/>
      <c r="GV13" s="492"/>
      <c r="GW13" s="492"/>
      <c r="GX13" s="492"/>
      <c r="GY13" s="492"/>
      <c r="GZ13" s="492"/>
      <c r="HA13" s="492"/>
      <c r="HB13" s="492"/>
      <c r="HC13" s="492"/>
      <c r="HD13" s="492"/>
      <c r="HE13" s="492"/>
      <c r="HF13" s="492"/>
      <c r="HG13" s="492"/>
      <c r="HH13" s="492"/>
      <c r="HI13" s="492"/>
      <c r="HJ13" s="492"/>
      <c r="HK13" s="492"/>
      <c r="HL13" s="492"/>
      <c r="HM13" s="492"/>
      <c r="HN13" s="492"/>
      <c r="HO13" s="492"/>
      <c r="HP13" s="492"/>
      <c r="HQ13" s="492"/>
      <c r="HR13" s="492"/>
      <c r="HS13" s="492"/>
      <c r="HT13" s="492"/>
      <c r="HU13" s="492"/>
      <c r="HV13" s="492"/>
      <c r="HW13" s="492"/>
      <c r="HX13" s="492"/>
      <c r="HY13" s="492"/>
      <c r="HZ13" s="492"/>
      <c r="IA13" s="492"/>
      <c r="IB13" s="492"/>
      <c r="IC13" s="492"/>
      <c r="ID13" s="492"/>
      <c r="IE13" s="492"/>
      <c r="IF13" s="492"/>
      <c r="IG13" s="492"/>
      <c r="IH13" s="492"/>
      <c r="II13" s="492"/>
      <c r="IJ13" s="492"/>
      <c r="IK13" s="492"/>
      <c r="IL13" s="492"/>
      <c r="IM13" s="492"/>
      <c r="IN13" s="492"/>
      <c r="IO13" s="492"/>
      <c r="IP13" s="492"/>
      <c r="IQ13" s="492"/>
      <c r="IR13" s="492"/>
      <c r="IS13" s="492"/>
      <c r="IT13" s="492"/>
      <c r="IU13" s="492"/>
      <c r="IV13" s="492"/>
      <c r="IW13" s="492"/>
    </row>
    <row r="14" customFormat="false" ht="19.5" hidden="false" customHeight="false" outlineLevel="0" collapsed="false">
      <c r="A14" s="585" t="s">
        <v>190</v>
      </c>
      <c r="B14" s="585"/>
      <c r="C14" s="585"/>
      <c r="D14" s="585"/>
      <c r="E14" s="585"/>
      <c r="F14" s="585"/>
      <c r="G14" s="585"/>
      <c r="H14" s="587"/>
      <c r="I14" s="588"/>
      <c r="J14" s="587"/>
      <c r="K14" s="587"/>
      <c r="L14" s="587"/>
      <c r="M14" s="587"/>
      <c r="N14" s="587"/>
      <c r="O14" s="587"/>
      <c r="P14" s="587"/>
      <c r="Q14" s="587"/>
      <c r="R14" s="587"/>
      <c r="S14" s="587"/>
      <c r="T14" s="587"/>
      <c r="U14" s="587"/>
      <c r="V14" s="587"/>
      <c r="W14" s="587"/>
      <c r="X14" s="587"/>
      <c r="Y14" s="587"/>
      <c r="Z14" s="587"/>
      <c r="AA14" s="587"/>
      <c r="AB14" s="587"/>
      <c r="AC14" s="587"/>
      <c r="AD14" s="587"/>
      <c r="AE14" s="587"/>
      <c r="AF14" s="587"/>
      <c r="AG14" s="587"/>
      <c r="AH14" s="587"/>
      <c r="AI14" s="587"/>
      <c r="AJ14" s="587"/>
      <c r="AK14" s="587"/>
      <c r="AL14" s="587"/>
      <c r="AM14" s="587"/>
      <c r="AN14" s="587"/>
      <c r="AO14" s="587"/>
      <c r="AP14" s="587"/>
      <c r="AQ14" s="587"/>
      <c r="AR14" s="587"/>
      <c r="AS14" s="587"/>
      <c r="AT14" s="587"/>
      <c r="AU14" s="587"/>
      <c r="AV14" s="587"/>
      <c r="AW14" s="587"/>
      <c r="AX14" s="587"/>
      <c r="AY14" s="587"/>
      <c r="AZ14" s="587"/>
      <c r="BA14" s="587"/>
      <c r="BB14" s="587"/>
      <c r="BC14" s="587"/>
      <c r="BD14" s="587"/>
      <c r="BE14" s="587"/>
      <c r="BF14" s="587"/>
      <c r="BG14" s="587"/>
      <c r="BH14" s="587"/>
      <c r="BI14" s="587"/>
      <c r="BJ14" s="587"/>
      <c r="BK14" s="587"/>
      <c r="BL14" s="587"/>
      <c r="BM14" s="587"/>
      <c r="BN14" s="587"/>
      <c r="BO14" s="587"/>
      <c r="BP14" s="587"/>
      <c r="BQ14" s="587"/>
      <c r="BR14" s="587"/>
      <c r="BS14" s="587"/>
      <c r="BT14" s="587"/>
      <c r="BU14" s="587"/>
      <c r="BV14" s="587"/>
      <c r="BW14" s="587"/>
      <c r="BX14" s="587"/>
      <c r="BY14" s="587"/>
      <c r="BZ14" s="587"/>
      <c r="CA14" s="587"/>
      <c r="CB14" s="587"/>
      <c r="CC14" s="587"/>
      <c r="CD14" s="587"/>
      <c r="CE14" s="587"/>
      <c r="CF14" s="587"/>
      <c r="CG14" s="587"/>
      <c r="CH14" s="587"/>
      <c r="CI14" s="587"/>
      <c r="CJ14" s="587"/>
      <c r="CK14" s="587"/>
      <c r="CL14" s="587"/>
      <c r="CM14" s="587"/>
      <c r="CN14" s="587"/>
      <c r="CO14" s="587"/>
      <c r="CP14" s="587"/>
      <c r="CQ14" s="587"/>
      <c r="CR14" s="587"/>
      <c r="CS14" s="587"/>
      <c r="CT14" s="587"/>
      <c r="CU14" s="587"/>
      <c r="CV14" s="587"/>
      <c r="CW14" s="587"/>
      <c r="CX14" s="587"/>
      <c r="CY14" s="587"/>
      <c r="CZ14" s="587"/>
      <c r="DA14" s="587"/>
      <c r="DB14" s="587"/>
      <c r="DC14" s="587"/>
      <c r="DD14" s="587"/>
      <c r="DE14" s="587"/>
      <c r="DF14" s="587"/>
      <c r="DG14" s="587"/>
      <c r="DH14" s="587"/>
      <c r="DI14" s="587"/>
      <c r="DJ14" s="587"/>
      <c r="DK14" s="587"/>
      <c r="DL14" s="587"/>
      <c r="DM14" s="587"/>
      <c r="DN14" s="587"/>
      <c r="DO14" s="587"/>
      <c r="DP14" s="587"/>
      <c r="DQ14" s="587"/>
      <c r="DR14" s="587"/>
      <c r="DS14" s="587"/>
      <c r="DT14" s="587"/>
      <c r="DU14" s="587"/>
      <c r="DV14" s="587"/>
      <c r="DW14" s="587"/>
      <c r="DX14" s="587"/>
      <c r="DY14" s="587"/>
      <c r="DZ14" s="587"/>
      <c r="EA14" s="587"/>
      <c r="EB14" s="587"/>
      <c r="EC14" s="587"/>
      <c r="ED14" s="587"/>
      <c r="EE14" s="587"/>
      <c r="EF14" s="587"/>
      <c r="EG14" s="587"/>
      <c r="EH14" s="587"/>
      <c r="EI14" s="587"/>
      <c r="EJ14" s="587"/>
      <c r="EK14" s="587"/>
      <c r="EL14" s="587"/>
      <c r="EM14" s="587"/>
      <c r="EN14" s="587"/>
      <c r="EO14" s="587"/>
      <c r="EP14" s="587"/>
      <c r="EQ14" s="587"/>
      <c r="ER14" s="587"/>
      <c r="ES14" s="587"/>
      <c r="ET14" s="587"/>
      <c r="EU14" s="587"/>
      <c r="EV14" s="587"/>
      <c r="EW14" s="587"/>
      <c r="EX14" s="587"/>
      <c r="EY14" s="587"/>
      <c r="EZ14" s="587"/>
      <c r="FA14" s="587"/>
      <c r="FB14" s="587"/>
      <c r="FC14" s="587"/>
      <c r="FD14" s="587"/>
      <c r="FE14" s="587"/>
      <c r="FF14" s="587"/>
      <c r="FG14" s="587"/>
      <c r="FH14" s="587"/>
      <c r="FI14" s="587"/>
      <c r="FJ14" s="587"/>
      <c r="FK14" s="587"/>
      <c r="FL14" s="587"/>
      <c r="FM14" s="587"/>
      <c r="FN14" s="587"/>
      <c r="FO14" s="587"/>
      <c r="FP14" s="587"/>
      <c r="FQ14" s="587"/>
      <c r="FR14" s="587"/>
      <c r="FS14" s="587"/>
      <c r="FT14" s="587"/>
      <c r="FU14" s="587"/>
      <c r="FV14" s="587"/>
      <c r="FW14" s="587"/>
      <c r="FX14" s="587"/>
      <c r="FY14" s="587"/>
      <c r="FZ14" s="587"/>
      <c r="GA14" s="587"/>
      <c r="GB14" s="587"/>
      <c r="GC14" s="587"/>
      <c r="GD14" s="587"/>
      <c r="GE14" s="587"/>
      <c r="GF14" s="587"/>
      <c r="GG14" s="587"/>
      <c r="GH14" s="587"/>
      <c r="GI14" s="587"/>
      <c r="GJ14" s="587"/>
      <c r="GK14" s="587"/>
      <c r="GL14" s="587"/>
      <c r="GM14" s="587"/>
      <c r="GN14" s="587"/>
      <c r="GO14" s="587"/>
      <c r="GP14" s="587"/>
      <c r="GQ14" s="587"/>
      <c r="GR14" s="587"/>
      <c r="GS14" s="587"/>
      <c r="GT14" s="587"/>
      <c r="GU14" s="587"/>
      <c r="GV14" s="587"/>
      <c r="GW14" s="587"/>
      <c r="GX14" s="587"/>
      <c r="GY14" s="587"/>
      <c r="GZ14" s="587"/>
      <c r="HA14" s="587"/>
      <c r="HB14" s="587"/>
      <c r="HC14" s="587"/>
      <c r="HD14" s="587"/>
      <c r="HE14" s="587"/>
      <c r="HF14" s="587"/>
      <c r="HG14" s="587"/>
      <c r="HH14" s="587"/>
      <c r="HI14" s="587"/>
      <c r="HJ14" s="587"/>
      <c r="HK14" s="587"/>
      <c r="HL14" s="587"/>
      <c r="HM14" s="587"/>
      <c r="HN14" s="587"/>
      <c r="HO14" s="587"/>
      <c r="HP14" s="587"/>
      <c r="HQ14" s="587"/>
      <c r="HR14" s="587"/>
      <c r="HS14" s="587"/>
      <c r="HT14" s="587"/>
      <c r="HU14" s="587"/>
      <c r="HV14" s="587"/>
      <c r="HW14" s="587"/>
      <c r="HX14" s="587"/>
      <c r="HY14" s="587"/>
      <c r="HZ14" s="587"/>
      <c r="IA14" s="587"/>
      <c r="IB14" s="587"/>
      <c r="IC14" s="587"/>
      <c r="ID14" s="587"/>
      <c r="IE14" s="587"/>
      <c r="IF14" s="587"/>
      <c r="IG14" s="587"/>
      <c r="IH14" s="587"/>
      <c r="II14" s="587"/>
      <c r="IJ14" s="587"/>
      <c r="IK14" s="587"/>
      <c r="IL14" s="587"/>
      <c r="IM14" s="587"/>
      <c r="IN14" s="587"/>
      <c r="IO14" s="587"/>
      <c r="IP14" s="587"/>
      <c r="IQ14" s="587"/>
      <c r="IR14" s="587"/>
      <c r="IS14" s="587"/>
      <c r="IT14" s="587"/>
      <c r="IU14" s="587"/>
      <c r="IV14" s="587"/>
      <c r="IW14" s="587"/>
    </row>
    <row r="15" customFormat="false" ht="7.5" hidden="false" customHeight="true" outlineLevel="0" collapsed="false">
      <c r="A15" s="590" t="n">
        <f aca="false">B3/100+1</f>
        <v>17</v>
      </c>
      <c r="B15" s="590" t="n">
        <f aca="false">110*C3*F3*8/1000000*A15</f>
        <v>13.464</v>
      </c>
      <c r="C15" s="591" t="n">
        <f aca="false">B15+B16</f>
        <v>17.688</v>
      </c>
      <c r="D15" s="361"/>
      <c r="E15" s="390" t="n">
        <f aca="false">D17+E5</f>
        <v>2962.368</v>
      </c>
      <c r="F15" s="390"/>
      <c r="G15" s="390"/>
      <c r="I15" s="592" t="n">
        <f aca="false">E15/G3*I3</f>
        <v>2401.92</v>
      </c>
    </row>
    <row r="16" customFormat="false" ht="7.5" hidden="false" customHeight="true" outlineLevel="0" collapsed="false">
      <c r="A16" s="590" t="n">
        <v>2</v>
      </c>
      <c r="B16" s="590" t="n">
        <f aca="false">110*B3*F3*8/1000000*A16</f>
        <v>4.224</v>
      </c>
      <c r="C16" s="591"/>
      <c r="D16" s="361"/>
      <c r="E16" s="390"/>
      <c r="F16" s="390"/>
      <c r="G16" s="390"/>
      <c r="I16" s="592"/>
    </row>
    <row r="17" customFormat="false" ht="13.5" hidden="false" customHeight="true" outlineLevel="0" collapsed="false">
      <c r="A17" s="361"/>
      <c r="B17" s="361"/>
      <c r="C17" s="593" t="n">
        <f aca="false">C15*G3*3</f>
        <v>1963.368</v>
      </c>
      <c r="D17" s="594" t="n">
        <f aca="false">C17*C5</f>
        <v>1963.368</v>
      </c>
      <c r="E17" s="390"/>
      <c r="F17" s="390"/>
      <c r="G17" s="390"/>
      <c r="I17" s="592"/>
    </row>
    <row r="18" customFormat="false" ht="7.5" hidden="false" customHeight="true" outlineLevel="0" collapsed="false">
      <c r="A18" s="583"/>
      <c r="B18" s="583"/>
      <c r="C18" s="583"/>
      <c r="D18" s="583"/>
      <c r="E18" s="583"/>
      <c r="F18" s="583"/>
      <c r="G18" s="583"/>
      <c r="H18" s="492"/>
      <c r="I18" s="492"/>
      <c r="J18" s="492"/>
      <c r="K18" s="492"/>
      <c r="L18" s="492"/>
      <c r="M18" s="492"/>
      <c r="N18" s="492"/>
      <c r="O18" s="492"/>
      <c r="P18" s="492"/>
      <c r="Q18" s="492"/>
      <c r="R18" s="492"/>
      <c r="S18" s="492"/>
      <c r="T18" s="492"/>
      <c r="U18" s="492"/>
      <c r="V18" s="492"/>
      <c r="W18" s="492"/>
      <c r="X18" s="492"/>
      <c r="Y18" s="492"/>
      <c r="Z18" s="492"/>
      <c r="AA18" s="492"/>
      <c r="AB18" s="492"/>
      <c r="AC18" s="492"/>
      <c r="AD18" s="492"/>
      <c r="AE18" s="492"/>
      <c r="AF18" s="492"/>
      <c r="AG18" s="492"/>
      <c r="AH18" s="492"/>
      <c r="AI18" s="492"/>
      <c r="AJ18" s="492"/>
      <c r="AK18" s="492"/>
      <c r="AL18" s="492"/>
      <c r="AM18" s="492"/>
      <c r="AN18" s="492"/>
      <c r="AO18" s="492"/>
      <c r="AP18" s="492"/>
      <c r="AQ18" s="492"/>
      <c r="AR18" s="492"/>
      <c r="AS18" s="492"/>
      <c r="AT18" s="492"/>
      <c r="AU18" s="492"/>
      <c r="AV18" s="492"/>
      <c r="AW18" s="492"/>
      <c r="AX18" s="492"/>
      <c r="AY18" s="492"/>
      <c r="AZ18" s="492"/>
      <c r="BA18" s="492"/>
      <c r="BB18" s="492"/>
      <c r="BC18" s="492"/>
      <c r="BD18" s="492"/>
      <c r="BE18" s="492"/>
      <c r="BF18" s="492"/>
      <c r="BG18" s="492"/>
      <c r="BH18" s="492"/>
      <c r="BI18" s="492"/>
      <c r="BJ18" s="492"/>
      <c r="BK18" s="492"/>
      <c r="BL18" s="492"/>
      <c r="BM18" s="492"/>
      <c r="BN18" s="492"/>
      <c r="BO18" s="492"/>
      <c r="BP18" s="492"/>
      <c r="BQ18" s="492"/>
      <c r="BR18" s="492"/>
      <c r="BS18" s="492"/>
      <c r="BT18" s="492"/>
      <c r="BU18" s="492"/>
      <c r="BV18" s="492"/>
      <c r="BW18" s="492"/>
      <c r="BX18" s="492"/>
      <c r="BY18" s="492"/>
      <c r="BZ18" s="492"/>
      <c r="CA18" s="492"/>
      <c r="CB18" s="492"/>
      <c r="CC18" s="492"/>
      <c r="CD18" s="492"/>
      <c r="CE18" s="492"/>
      <c r="CF18" s="492"/>
      <c r="CG18" s="492"/>
      <c r="CH18" s="492"/>
      <c r="CI18" s="492"/>
      <c r="CJ18" s="492"/>
      <c r="CK18" s="492"/>
      <c r="CL18" s="492"/>
      <c r="CM18" s="492"/>
      <c r="CN18" s="492"/>
      <c r="CO18" s="492"/>
      <c r="CP18" s="492"/>
      <c r="CQ18" s="492"/>
      <c r="CR18" s="492"/>
      <c r="CS18" s="492"/>
      <c r="CT18" s="492"/>
      <c r="CU18" s="492"/>
      <c r="CV18" s="492"/>
      <c r="CW18" s="492"/>
      <c r="CX18" s="492"/>
      <c r="CY18" s="492"/>
      <c r="CZ18" s="492"/>
      <c r="DA18" s="492"/>
      <c r="DB18" s="492"/>
      <c r="DC18" s="492"/>
      <c r="DD18" s="492"/>
      <c r="DE18" s="492"/>
      <c r="DF18" s="492"/>
      <c r="DG18" s="492"/>
      <c r="DH18" s="492"/>
      <c r="DI18" s="492"/>
      <c r="DJ18" s="492"/>
      <c r="DK18" s="492"/>
      <c r="DL18" s="492"/>
      <c r="DM18" s="492"/>
      <c r="DN18" s="492"/>
      <c r="DO18" s="492"/>
      <c r="DP18" s="492"/>
      <c r="DQ18" s="492"/>
      <c r="DR18" s="492"/>
      <c r="DS18" s="492"/>
      <c r="DT18" s="492"/>
      <c r="DU18" s="492"/>
      <c r="DV18" s="492"/>
      <c r="DW18" s="492"/>
      <c r="DX18" s="492"/>
      <c r="DY18" s="492"/>
      <c r="DZ18" s="492"/>
      <c r="EA18" s="492"/>
      <c r="EB18" s="492"/>
      <c r="EC18" s="492"/>
      <c r="ED18" s="492"/>
      <c r="EE18" s="492"/>
      <c r="EF18" s="492"/>
      <c r="EG18" s="492"/>
      <c r="EH18" s="492"/>
      <c r="EI18" s="492"/>
      <c r="EJ18" s="492"/>
      <c r="EK18" s="492"/>
      <c r="EL18" s="492"/>
      <c r="EM18" s="492"/>
      <c r="EN18" s="492"/>
      <c r="EO18" s="492"/>
      <c r="EP18" s="492"/>
      <c r="EQ18" s="492"/>
      <c r="ER18" s="492"/>
      <c r="ES18" s="492"/>
      <c r="ET18" s="492"/>
      <c r="EU18" s="492"/>
      <c r="EV18" s="492"/>
      <c r="EW18" s="492"/>
      <c r="EX18" s="492"/>
      <c r="EY18" s="492"/>
      <c r="EZ18" s="492"/>
      <c r="FA18" s="492"/>
      <c r="FB18" s="492"/>
      <c r="FC18" s="492"/>
      <c r="FD18" s="492"/>
      <c r="FE18" s="492"/>
      <c r="FF18" s="492"/>
      <c r="FG18" s="492"/>
      <c r="FH18" s="492"/>
      <c r="FI18" s="492"/>
      <c r="FJ18" s="492"/>
      <c r="FK18" s="492"/>
      <c r="FL18" s="492"/>
      <c r="FM18" s="492"/>
      <c r="FN18" s="492"/>
      <c r="FO18" s="492"/>
      <c r="FP18" s="492"/>
      <c r="FQ18" s="492"/>
      <c r="FR18" s="492"/>
      <c r="FS18" s="492"/>
      <c r="FT18" s="492"/>
      <c r="FU18" s="492"/>
      <c r="FV18" s="492"/>
      <c r="FW18" s="492"/>
      <c r="FX18" s="492"/>
      <c r="FY18" s="492"/>
      <c r="FZ18" s="492"/>
      <c r="GA18" s="492"/>
      <c r="GB18" s="492"/>
      <c r="GC18" s="492"/>
      <c r="GD18" s="492"/>
      <c r="GE18" s="492"/>
      <c r="GF18" s="492"/>
      <c r="GG18" s="492"/>
      <c r="GH18" s="492"/>
      <c r="GI18" s="492"/>
      <c r="GJ18" s="492"/>
      <c r="GK18" s="492"/>
      <c r="GL18" s="492"/>
      <c r="GM18" s="492"/>
      <c r="GN18" s="492"/>
      <c r="GO18" s="492"/>
      <c r="GP18" s="492"/>
      <c r="GQ18" s="492"/>
      <c r="GR18" s="492"/>
      <c r="GS18" s="492"/>
      <c r="GT18" s="492"/>
      <c r="GU18" s="492"/>
      <c r="GV18" s="492"/>
      <c r="GW18" s="492"/>
      <c r="GX18" s="492"/>
      <c r="GY18" s="492"/>
      <c r="GZ18" s="492"/>
      <c r="HA18" s="492"/>
      <c r="HB18" s="492"/>
      <c r="HC18" s="492"/>
      <c r="HD18" s="492"/>
      <c r="HE18" s="492"/>
      <c r="HF18" s="492"/>
      <c r="HG18" s="492"/>
      <c r="HH18" s="492"/>
      <c r="HI18" s="492"/>
      <c r="HJ18" s="492"/>
      <c r="HK18" s="492"/>
      <c r="HL18" s="492"/>
      <c r="HM18" s="492"/>
      <c r="HN18" s="492"/>
      <c r="HO18" s="492"/>
      <c r="HP18" s="492"/>
      <c r="HQ18" s="492"/>
      <c r="HR18" s="492"/>
      <c r="HS18" s="492"/>
      <c r="HT18" s="492"/>
      <c r="HU18" s="492"/>
      <c r="HV18" s="492"/>
      <c r="HW18" s="492"/>
      <c r="HX18" s="492"/>
      <c r="HY18" s="492"/>
      <c r="HZ18" s="492"/>
      <c r="IA18" s="492"/>
      <c r="IB18" s="492"/>
      <c r="IC18" s="492"/>
      <c r="ID18" s="492"/>
      <c r="IE18" s="492"/>
      <c r="IF18" s="492"/>
      <c r="IG18" s="492"/>
      <c r="IH18" s="492"/>
      <c r="II18" s="492"/>
      <c r="IJ18" s="492"/>
      <c r="IK18" s="492"/>
      <c r="IL18" s="492"/>
      <c r="IM18" s="492"/>
      <c r="IN18" s="492"/>
      <c r="IO18" s="492"/>
      <c r="IP18" s="492"/>
      <c r="IQ18" s="492"/>
      <c r="IR18" s="492"/>
      <c r="IS18" s="492"/>
      <c r="IT18" s="492"/>
      <c r="IU18" s="492"/>
      <c r="IV18" s="492"/>
      <c r="IW18" s="492"/>
    </row>
    <row r="19" customFormat="false" ht="15.75" hidden="false" customHeight="false" outlineLevel="0" collapsed="false">
      <c r="A19" s="595" t="s">
        <v>191</v>
      </c>
      <c r="B19" s="595"/>
      <c r="C19" s="595"/>
      <c r="D19" s="595"/>
      <c r="E19" s="595"/>
      <c r="F19" s="595"/>
      <c r="G19" s="595"/>
      <c r="H19" s="595"/>
      <c r="I19" s="595"/>
    </row>
    <row r="20" customFormat="false" ht="15.75" hidden="false" customHeight="false" outlineLevel="0" collapsed="false">
      <c r="A20" s="596"/>
      <c r="B20" s="596"/>
      <c r="C20" s="596"/>
      <c r="D20" s="596"/>
      <c r="E20" s="596"/>
      <c r="F20" s="596"/>
      <c r="G20" s="596"/>
    </row>
  </sheetData>
  <mergeCells count="18">
    <mergeCell ref="A1:G1"/>
    <mergeCell ref="J2:J4"/>
    <mergeCell ref="K3:M5"/>
    <mergeCell ref="F4:G4"/>
    <mergeCell ref="A5:B5"/>
    <mergeCell ref="F5:G5"/>
    <mergeCell ref="A6:B6"/>
    <mergeCell ref="D6:E6"/>
    <mergeCell ref="A8:G8"/>
    <mergeCell ref="E9:G9"/>
    <mergeCell ref="A11:G11"/>
    <mergeCell ref="E12:G12"/>
    <mergeCell ref="A14:G14"/>
    <mergeCell ref="C15:C16"/>
    <mergeCell ref="E15:G17"/>
    <mergeCell ref="I15:I17"/>
    <mergeCell ref="A19:I19"/>
    <mergeCell ref="A20:G20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3366"/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9.28125" defaultRowHeight="12.75" customHeight="false" zeroHeight="false" outlineLevelRow="0" outlineLevelCol="0"/>
  <cols>
    <col collapsed="false" customWidth="true" hidden="false" outlineLevel="0" max="1" min="1" style="597" width="9.99"/>
    <col collapsed="false" customWidth="true" hidden="false" outlineLevel="0" max="2" min="2" style="597" width="13.7"/>
    <col collapsed="false" customWidth="true" hidden="false" outlineLevel="0" max="3" min="3" style="597" width="6.28"/>
    <col collapsed="false" customWidth="true" hidden="false" outlineLevel="0" max="4" min="4" style="597" width="11.28"/>
    <col collapsed="false" customWidth="true" hidden="false" outlineLevel="0" max="5" min="5" style="597" width="8.56"/>
    <col collapsed="false" customWidth="true" hidden="false" outlineLevel="0" max="6" min="6" style="597" width="10.41"/>
    <col collapsed="false" customWidth="true" hidden="false" outlineLevel="0" max="7" min="7" style="597" width="12.28"/>
    <col collapsed="false" customWidth="true" hidden="false" outlineLevel="0" max="8" min="8" style="597" width="9.7"/>
    <col collapsed="false" customWidth="true" hidden="false" outlineLevel="0" max="9" min="9" style="597" width="11.7"/>
    <col collapsed="false" customWidth="true" hidden="false" outlineLevel="0" max="10" min="10" style="597" width="3.28"/>
    <col collapsed="false" customWidth="true" hidden="false" outlineLevel="0" max="11" min="11" style="597" width="32.99"/>
    <col collapsed="false" customWidth="false" hidden="false" outlineLevel="0" max="257" min="12" style="597" width="9.28"/>
  </cols>
  <sheetData>
    <row r="1" customFormat="false" ht="25.15" hidden="false" customHeight="true" outlineLevel="0" collapsed="false">
      <c r="A1" s="598" t="s">
        <v>192</v>
      </c>
      <c r="B1" s="598"/>
      <c r="C1" s="598"/>
      <c r="D1" s="598"/>
      <c r="E1" s="598"/>
      <c r="F1" s="598"/>
      <c r="G1" s="598"/>
      <c r="H1" s="598"/>
      <c r="I1" s="598"/>
    </row>
    <row r="2" customFormat="false" ht="22.5" hidden="false" customHeight="true" outlineLevel="0" collapsed="false">
      <c r="A2" s="599" t="s">
        <v>189</v>
      </c>
      <c r="B2" s="599"/>
      <c r="C2" s="599"/>
      <c r="D2" s="599"/>
      <c r="E2" s="599"/>
      <c r="F2" s="599"/>
      <c r="G2" s="599"/>
      <c r="H2" s="599"/>
      <c r="I2" s="599"/>
      <c r="K2" s="600" t="s">
        <v>193</v>
      </c>
    </row>
    <row r="3" customFormat="false" ht="20.1" hidden="false" customHeight="true" outlineLevel="0" collapsed="false">
      <c r="A3" s="601"/>
      <c r="B3" s="602" t="s">
        <v>80</v>
      </c>
      <c r="C3" s="602"/>
      <c r="D3" s="602" t="s">
        <v>100</v>
      </c>
      <c r="E3" s="602"/>
      <c r="F3" s="602" t="s">
        <v>29</v>
      </c>
      <c r="G3" s="603"/>
      <c r="H3" s="604"/>
      <c r="I3" s="605"/>
      <c r="K3" s="600"/>
    </row>
    <row r="4" customFormat="false" ht="20.1" hidden="false" customHeight="true" outlineLevel="0" collapsed="false">
      <c r="A4" s="606" t="s">
        <v>34</v>
      </c>
      <c r="B4" s="607" t="n">
        <v>1000</v>
      </c>
      <c r="C4" s="607" t="s">
        <v>136</v>
      </c>
      <c r="D4" s="607" t="n">
        <v>500</v>
      </c>
      <c r="E4" s="607" t="s">
        <v>136</v>
      </c>
      <c r="F4" s="607" t="n">
        <v>2000</v>
      </c>
      <c r="G4" s="608"/>
      <c r="H4" s="609"/>
      <c r="I4" s="609"/>
      <c r="K4" s="600"/>
    </row>
    <row r="5" customFormat="false" ht="15.75" hidden="false" customHeight="true" outlineLevel="0" collapsed="false">
      <c r="A5" s="610"/>
      <c r="B5" s="611" t="n">
        <f aca="false">B4+100</f>
        <v>1100</v>
      </c>
      <c r="C5" s="612" t="s">
        <v>136</v>
      </c>
      <c r="D5" s="611" t="n">
        <f aca="false">D4+100</f>
        <v>600</v>
      </c>
      <c r="E5" s="613" t="n">
        <f aca="false">B5*D5*H6*8/1000000</f>
        <v>6.336</v>
      </c>
      <c r="F5" s="614"/>
      <c r="G5" s="615" t="n">
        <f aca="false">E5*I6*3.5</f>
        <v>1023.4224</v>
      </c>
      <c r="H5" s="616" t="s">
        <v>82</v>
      </c>
      <c r="I5" s="617" t="s">
        <v>36</v>
      </c>
    </row>
    <row r="6" customFormat="false" ht="36" hidden="false" customHeight="true" outlineLevel="0" collapsed="false">
      <c r="A6" s="610"/>
      <c r="B6" s="618" t="s">
        <v>194</v>
      </c>
      <c r="C6" s="618"/>
      <c r="D6" s="618"/>
      <c r="E6" s="619" t="n">
        <v>1</v>
      </c>
      <c r="F6" s="620" t="n">
        <f aca="false">E6*G5</f>
        <v>1023.4224</v>
      </c>
      <c r="G6" s="620"/>
      <c r="H6" s="621" t="n">
        <v>1.2</v>
      </c>
      <c r="I6" s="622" t="n">
        <v>46.15</v>
      </c>
    </row>
    <row r="7" customFormat="false" ht="15.75" hidden="false" customHeight="true" outlineLevel="0" collapsed="false">
      <c r="A7" s="608"/>
      <c r="B7" s="608"/>
      <c r="C7" s="608"/>
      <c r="D7" s="608"/>
      <c r="E7" s="608"/>
      <c r="F7" s="623"/>
      <c r="G7" s="624"/>
      <c r="H7" s="625"/>
      <c r="I7" s="626"/>
    </row>
    <row r="8" customFormat="false" ht="15.75" hidden="false" customHeight="true" outlineLevel="0" collapsed="false">
      <c r="A8" s="627" t="s">
        <v>187</v>
      </c>
      <c r="B8" s="627"/>
      <c r="C8" s="628" t="n">
        <f aca="false">F4*A9</f>
        <v>8000</v>
      </c>
      <c r="D8" s="628"/>
      <c r="E8" s="629" t="n">
        <f aca="false">C8*H9*3/1000</f>
        <v>1320</v>
      </c>
      <c r="F8" s="629"/>
      <c r="G8" s="608"/>
      <c r="H8" s="617" t="s">
        <v>195</v>
      </c>
      <c r="I8" s="617"/>
    </row>
    <row r="9" customFormat="false" ht="15.75" hidden="false" customHeight="true" outlineLevel="0" collapsed="false">
      <c r="A9" s="630" t="n">
        <v>4</v>
      </c>
      <c r="B9" s="630"/>
      <c r="C9" s="631"/>
      <c r="D9" s="631"/>
      <c r="E9" s="608"/>
      <c r="F9" s="608"/>
      <c r="G9" s="608"/>
      <c r="H9" s="622" t="n">
        <v>55</v>
      </c>
      <c r="I9" s="622"/>
    </row>
    <row r="10" customFormat="false" ht="25.15" hidden="false" customHeight="true" outlineLevel="0" collapsed="false">
      <c r="A10" s="632"/>
      <c r="B10" s="633" t="s">
        <v>196</v>
      </c>
      <c r="C10" s="633"/>
      <c r="D10" s="633"/>
      <c r="E10" s="634" t="n">
        <f aca="false">E8+F6</f>
        <v>2343.4224</v>
      </c>
      <c r="F10" s="634"/>
      <c r="G10" s="634"/>
      <c r="H10" s="623"/>
      <c r="I10" s="635"/>
    </row>
    <row r="11" customFormat="false" ht="15.75" hidden="false" customHeight="true" outlineLevel="0" collapsed="false">
      <c r="A11" s="610"/>
      <c r="B11" s="636"/>
      <c r="C11" s="636"/>
      <c r="D11" s="636"/>
      <c r="E11" s="608"/>
      <c r="F11" s="623"/>
      <c r="G11" s="623"/>
      <c r="H11" s="623"/>
      <c r="I11" s="635"/>
    </row>
    <row r="12" customFormat="false" ht="27" hidden="false" customHeight="false" outlineLevel="0" collapsed="false">
      <c r="A12" s="599" t="s">
        <v>190</v>
      </c>
      <c r="B12" s="599"/>
      <c r="C12" s="599"/>
      <c r="D12" s="599"/>
      <c r="E12" s="599"/>
      <c r="F12" s="599"/>
      <c r="G12" s="599"/>
      <c r="H12" s="599"/>
      <c r="I12" s="599"/>
    </row>
    <row r="13" customFormat="false" ht="12.75" hidden="false" customHeight="false" outlineLevel="0" collapsed="false">
      <c r="A13" s="637" t="n">
        <f aca="false">B4/100+1</f>
        <v>11</v>
      </c>
      <c r="B13" s="638" t="n">
        <f aca="false">110*D4*H6*8/1000000*A13</f>
        <v>5.808</v>
      </c>
      <c r="C13" s="639"/>
      <c r="D13" s="612" t="n">
        <f aca="false">B13+B14</f>
        <v>7.92</v>
      </c>
      <c r="E13" s="612"/>
      <c r="F13" s="640"/>
      <c r="G13" s="641" t="s">
        <v>197</v>
      </c>
      <c r="H13" s="641"/>
      <c r="I13" s="641"/>
    </row>
    <row r="14" customFormat="false" ht="12.75" hidden="false" customHeight="false" outlineLevel="0" collapsed="false">
      <c r="A14" s="637" t="n">
        <v>2</v>
      </c>
      <c r="B14" s="638" t="n">
        <f aca="false">110*B4*H6*8/1000000*A14</f>
        <v>2.112</v>
      </c>
      <c r="C14" s="639"/>
      <c r="D14" s="612"/>
      <c r="E14" s="612"/>
      <c r="F14" s="640"/>
      <c r="G14" s="641"/>
      <c r="H14" s="641"/>
      <c r="I14" s="641"/>
    </row>
    <row r="15" customFormat="false" ht="23.25" hidden="false" customHeight="false" outlineLevel="0" collapsed="false">
      <c r="A15" s="642"/>
      <c r="B15" s="608"/>
      <c r="C15" s="643" t="n">
        <f aca="false">D13*I6*3</f>
        <v>1096.524</v>
      </c>
      <c r="D15" s="643"/>
      <c r="E15" s="643"/>
      <c r="F15" s="644" t="n">
        <f aca="false">C15*E6</f>
        <v>1096.524</v>
      </c>
      <c r="G15" s="634" t="n">
        <f aca="false">F15+E8</f>
        <v>2416.524</v>
      </c>
      <c r="H15" s="634"/>
      <c r="I15" s="634"/>
    </row>
    <row r="17" customFormat="false" ht="15.75" hidden="false" customHeight="false" outlineLevel="0" collapsed="false">
      <c r="A17" s="595" t="s">
        <v>191</v>
      </c>
      <c r="B17" s="595"/>
      <c r="C17" s="595"/>
      <c r="D17" s="595"/>
      <c r="E17" s="595"/>
      <c r="F17" s="595"/>
      <c r="G17" s="595"/>
      <c r="H17" s="595"/>
      <c r="I17" s="595"/>
    </row>
  </sheetData>
  <mergeCells count="20">
    <mergeCell ref="A1:I1"/>
    <mergeCell ref="A2:I2"/>
    <mergeCell ref="K2:K4"/>
    <mergeCell ref="H4:I4"/>
    <mergeCell ref="B6:D6"/>
    <mergeCell ref="F6:G6"/>
    <mergeCell ref="A8:B8"/>
    <mergeCell ref="C8:D8"/>
    <mergeCell ref="E8:F8"/>
    <mergeCell ref="H8:I8"/>
    <mergeCell ref="A9:B9"/>
    <mergeCell ref="H9:I9"/>
    <mergeCell ref="B10:D10"/>
    <mergeCell ref="E10:G10"/>
    <mergeCell ref="A12:I12"/>
    <mergeCell ref="D13:E14"/>
    <mergeCell ref="G13:I14"/>
    <mergeCell ref="C15:E15"/>
    <mergeCell ref="G15:I15"/>
    <mergeCell ref="A17:I17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X42"/>
  <sheetViews>
    <sheetView showFormulas="false" showGridLines="true" showRowColHeaders="true" showZeros="true" rightToLeft="false" tabSelected="false" showOutlineSymbols="true" defaultGridColor="true" view="normal" topLeftCell="B10" colorId="64" zoomScale="100" zoomScaleNormal="100" zoomScalePageLayoutView="100" workbookViewId="0">
      <selection pane="topLeft" activeCell="N20" activeCellId="0" sqref="N20:O20"/>
    </sheetView>
  </sheetViews>
  <sheetFormatPr defaultColWidth="9.28125" defaultRowHeight="12.75" customHeight="false" zeroHeight="false" outlineLevelRow="0" outlineLevelCol="0"/>
  <cols>
    <col collapsed="false" customWidth="true" hidden="false" outlineLevel="0" max="1" min="1" style="354" width="15.28"/>
    <col collapsed="false" customWidth="true" hidden="false" outlineLevel="0" max="2" min="2" style="508" width="4.28"/>
    <col collapsed="false" customWidth="true" hidden="false" outlineLevel="0" max="4" min="3" style="354" width="10.56"/>
    <col collapsed="false" customWidth="true" hidden="false" outlineLevel="0" max="5" min="5" style="354" width="9.85"/>
    <col collapsed="false" customWidth="false" hidden="false" outlineLevel="0" max="6" min="6" style="354" width="9.28"/>
    <col collapsed="false" customWidth="true" hidden="false" outlineLevel="0" max="9" min="7" style="354" width="7.28"/>
    <col collapsed="false" customWidth="true" hidden="false" outlineLevel="0" max="10" min="10" style="354" width="11.42"/>
    <col collapsed="false" customWidth="true" hidden="false" outlineLevel="0" max="11" min="11" style="354" width="10.28"/>
    <col collapsed="false" customWidth="true" hidden="false" outlineLevel="0" max="12" min="12" style="354" width="5.56"/>
    <col collapsed="false" customWidth="true" hidden="false" outlineLevel="0" max="13" min="13" style="354" width="8.28"/>
    <col collapsed="false" customWidth="true" hidden="false" outlineLevel="0" max="14" min="14" style="354" width="9.85"/>
    <col collapsed="false" customWidth="true" hidden="false" outlineLevel="0" max="15" min="15" style="354" width="8.28"/>
    <col collapsed="false" customWidth="true" hidden="false" outlineLevel="0" max="16" min="16" style="354" width="5.71"/>
    <col collapsed="false" customWidth="true" hidden="false" outlineLevel="0" max="19" min="17" style="354" width="7.7"/>
    <col collapsed="false" customWidth="false" hidden="false" outlineLevel="0" max="257" min="20" style="354" width="9.28"/>
  </cols>
  <sheetData>
    <row r="1" customFormat="false" ht="27" hidden="false" customHeight="false" outlineLevel="0" collapsed="false">
      <c r="A1" s="645" t="s">
        <v>198</v>
      </c>
      <c r="B1" s="645"/>
      <c r="C1" s="645"/>
      <c r="D1" s="645"/>
      <c r="E1" s="645"/>
      <c r="F1" s="645"/>
      <c r="G1" s="645"/>
      <c r="H1" s="645"/>
      <c r="I1" s="645"/>
      <c r="J1" s="645"/>
      <c r="K1" s="646" t="s">
        <v>199</v>
      </c>
      <c r="L1" s="646"/>
      <c r="M1" s="646"/>
      <c r="N1" s="646"/>
      <c r="O1" s="646"/>
      <c r="P1" s="646"/>
      <c r="Q1" s="646"/>
      <c r="R1" s="646"/>
      <c r="S1" s="646"/>
    </row>
    <row r="2" customFormat="false" ht="18" hidden="false" customHeight="true" outlineLevel="0" collapsed="false">
      <c r="A2" s="647" t="s">
        <v>200</v>
      </c>
      <c r="B2" s="648"/>
      <c r="C2" s="359"/>
      <c r="D2" s="649"/>
      <c r="E2" s="650" t="n">
        <v>1000</v>
      </c>
      <c r="F2" s="651" t="s">
        <v>29</v>
      </c>
      <c r="G2" s="360" t="n">
        <v>920</v>
      </c>
      <c r="H2" s="360"/>
      <c r="I2" s="361"/>
      <c r="J2" s="652"/>
      <c r="K2" s="358" t="s">
        <v>200</v>
      </c>
      <c r="L2" s="359"/>
      <c r="M2" s="649"/>
      <c r="N2" s="650" t="n">
        <v>1000</v>
      </c>
      <c r="O2" s="361"/>
      <c r="P2" s="361"/>
      <c r="Q2" s="361"/>
      <c r="R2" s="361"/>
      <c r="S2" s="363"/>
    </row>
    <row r="3" customFormat="false" ht="12.75" hidden="false" customHeight="false" outlineLevel="0" collapsed="false">
      <c r="A3" s="653"/>
      <c r="B3" s="654"/>
      <c r="C3" s="361"/>
      <c r="D3" s="361"/>
      <c r="E3" s="361"/>
      <c r="F3" s="361"/>
      <c r="G3" s="361"/>
      <c r="H3" s="361"/>
      <c r="I3" s="361"/>
      <c r="J3" s="652"/>
      <c r="K3" s="365"/>
      <c r="L3" s="361"/>
      <c r="M3" s="361"/>
      <c r="N3" s="361"/>
      <c r="O3" s="361"/>
      <c r="P3" s="361"/>
      <c r="Q3" s="361"/>
      <c r="R3" s="361"/>
      <c r="S3" s="363"/>
    </row>
    <row r="4" customFormat="false" ht="12.75" hidden="false" customHeight="false" outlineLevel="0" collapsed="false">
      <c r="A4" s="655"/>
      <c r="B4" s="656"/>
      <c r="C4" s="377" t="s">
        <v>201</v>
      </c>
      <c r="D4" s="377" t="s">
        <v>202</v>
      </c>
      <c r="E4" s="377" t="s">
        <v>203</v>
      </c>
      <c r="F4" s="377" t="s">
        <v>204</v>
      </c>
      <c r="G4" s="361"/>
      <c r="H4" s="361"/>
      <c r="I4" s="361"/>
      <c r="J4" s="652"/>
      <c r="K4" s="657"/>
      <c r="L4" s="377"/>
      <c r="M4" s="377" t="s">
        <v>202</v>
      </c>
      <c r="N4" s="377" t="s">
        <v>203</v>
      </c>
      <c r="O4" s="377" t="s">
        <v>204</v>
      </c>
      <c r="P4" s="361" t="s">
        <v>204</v>
      </c>
      <c r="Q4" s="658" t="n">
        <f aca="false">SUM(O5:O9)</f>
        <v>852</v>
      </c>
      <c r="R4" s="361"/>
      <c r="S4" s="363"/>
    </row>
    <row r="5" customFormat="false" ht="12.75" hidden="false" customHeight="false" outlineLevel="0" collapsed="false">
      <c r="A5" s="659" t="s">
        <v>205</v>
      </c>
      <c r="B5" s="659"/>
      <c r="C5" s="660" t="n">
        <v>38.1</v>
      </c>
      <c r="D5" s="661" t="n">
        <f aca="false">E2</f>
        <v>1000</v>
      </c>
      <c r="E5" s="662" t="n">
        <v>35.52</v>
      </c>
      <c r="F5" s="663" t="n">
        <f aca="false">E5*D5/1000</f>
        <v>35.52</v>
      </c>
      <c r="G5" s="0" t="s">
        <v>206</v>
      </c>
      <c r="H5" s="664" t="n">
        <f aca="false">SUM(F5:F12)</f>
        <v>223.2304</v>
      </c>
      <c r="I5" s="664"/>
      <c r="J5" s="664"/>
      <c r="K5" s="660" t="s">
        <v>205</v>
      </c>
      <c r="L5" s="660" t="s">
        <v>207</v>
      </c>
      <c r="M5" s="665" t="n">
        <f aca="false">N2</f>
        <v>1000</v>
      </c>
      <c r="N5" s="662" t="n">
        <v>35.52</v>
      </c>
      <c r="O5" s="663" t="n">
        <f aca="false">M5*N5/1000</f>
        <v>35.52</v>
      </c>
      <c r="P5" s="666" t="s">
        <v>136</v>
      </c>
      <c r="Q5" s="666" t="s">
        <v>14</v>
      </c>
      <c r="R5" s="371" t="s">
        <v>208</v>
      </c>
      <c r="S5" s="667" t="e">
        <f aca="false">Q4*Q5</f>
        <v>#VALUE!</v>
      </c>
    </row>
    <row r="6" customFormat="false" ht="12.75" hidden="false" customHeight="false" outlineLevel="0" collapsed="false">
      <c r="A6" s="668" t="s">
        <v>209</v>
      </c>
      <c r="B6" s="669" t="n">
        <v>1</v>
      </c>
      <c r="C6" s="660" t="n">
        <v>38.1</v>
      </c>
      <c r="D6" s="661" t="n">
        <f aca="false">E2*B6</f>
        <v>1000</v>
      </c>
      <c r="E6" s="662" t="n">
        <v>35.52</v>
      </c>
      <c r="F6" s="663" t="n">
        <f aca="false">E6*D6/1000</f>
        <v>35.52</v>
      </c>
      <c r="G6" s="670"/>
      <c r="H6" s="671"/>
      <c r="I6" s="371"/>
      <c r="J6" s="672"/>
      <c r="K6" s="660" t="s">
        <v>210</v>
      </c>
      <c r="L6" s="660" t="str">
        <f aca="false">L5</f>
        <v>1.1/2"</v>
      </c>
      <c r="M6" s="673" t="n">
        <v>18</v>
      </c>
      <c r="N6" s="662" t="n">
        <v>10.86</v>
      </c>
      <c r="O6" s="663" t="n">
        <f aca="false">N6*M6</f>
        <v>195.48</v>
      </c>
      <c r="P6" s="666" t="s">
        <v>211</v>
      </c>
      <c r="Q6" s="666" t="n">
        <v>0</v>
      </c>
      <c r="R6" s="674" t="e">
        <f aca="false">S5/100*Q6</f>
        <v>#VALUE!</v>
      </c>
      <c r="S6" s="667" t="e">
        <f aca="false">R6+S5</f>
        <v>#VALUE!</v>
      </c>
    </row>
    <row r="7" customFormat="false" ht="12.75" hidden="false" customHeight="false" outlineLevel="0" collapsed="false">
      <c r="A7" s="659" t="s">
        <v>212</v>
      </c>
      <c r="B7" s="669" t="n">
        <v>1</v>
      </c>
      <c r="C7" s="660" t="n">
        <v>38.1</v>
      </c>
      <c r="D7" s="661" t="n">
        <f aca="false">G2*B7</f>
        <v>920</v>
      </c>
      <c r="E7" s="662" t="n">
        <v>35.52</v>
      </c>
      <c r="F7" s="663" t="n">
        <f aca="false">E7*D7/1000</f>
        <v>32.6784</v>
      </c>
      <c r="G7" s="670" t="s">
        <v>136</v>
      </c>
      <c r="H7" s="671" t="n">
        <v>3.5</v>
      </c>
      <c r="I7" s="371" t="s">
        <v>208</v>
      </c>
      <c r="J7" s="672" t="n">
        <f aca="false">H5*H7</f>
        <v>781.3064</v>
      </c>
      <c r="K7" s="660" t="s">
        <v>213</v>
      </c>
      <c r="L7" s="675" t="s">
        <v>214</v>
      </c>
      <c r="M7" s="676" t="n">
        <v>27</v>
      </c>
      <c r="N7" s="663" t="n">
        <v>11.5</v>
      </c>
      <c r="O7" s="663" t="n">
        <f aca="false">N7*M7</f>
        <v>310.5</v>
      </c>
      <c r="P7" s="377"/>
      <c r="Q7" s="377"/>
      <c r="R7" s="377"/>
      <c r="S7" s="373"/>
      <c r="W7" s="677" t="s">
        <v>215</v>
      </c>
    </row>
    <row r="8" customFormat="false" ht="19.5" hidden="false" customHeight="false" outlineLevel="0" collapsed="false">
      <c r="A8" s="659" t="s">
        <v>216</v>
      </c>
      <c r="B8" s="669" t="n">
        <v>5</v>
      </c>
      <c r="C8" s="660" t="n">
        <v>19.05</v>
      </c>
      <c r="D8" s="661" t="n">
        <f aca="false">G2*B8</f>
        <v>4600</v>
      </c>
      <c r="E8" s="662" t="n">
        <v>18.62</v>
      </c>
      <c r="F8" s="663" t="n">
        <f aca="false">E8*D8/1000</f>
        <v>85.652</v>
      </c>
      <c r="G8" s="670"/>
      <c r="H8" s="671"/>
      <c r="I8" s="371"/>
      <c r="J8" s="672"/>
      <c r="K8" s="660" t="s">
        <v>217</v>
      </c>
      <c r="L8" s="660" t="s">
        <v>218</v>
      </c>
      <c r="M8" s="676" t="n">
        <v>27</v>
      </c>
      <c r="N8" s="663" t="n">
        <v>11.5</v>
      </c>
      <c r="O8" s="663" t="n">
        <f aca="false">N8*M8</f>
        <v>310.5</v>
      </c>
      <c r="P8" s="678" t="s">
        <v>219</v>
      </c>
      <c r="Q8" s="678"/>
      <c r="R8" s="679" t="e">
        <f aca="false">S6/N2*1000</f>
        <v>#VALUE!</v>
      </c>
      <c r="S8" s="679"/>
    </row>
    <row r="9" customFormat="false" ht="12.75" hidden="false" customHeight="false" outlineLevel="0" collapsed="false">
      <c r="A9" s="659" t="s">
        <v>210</v>
      </c>
      <c r="B9" s="669" t="n">
        <v>1</v>
      </c>
      <c r="C9" s="660" t="n">
        <f aca="false">C5</f>
        <v>38.1</v>
      </c>
      <c r="D9" s="676" t="n">
        <f aca="false">B9</f>
        <v>1</v>
      </c>
      <c r="E9" s="662" t="n">
        <v>10.86</v>
      </c>
      <c r="F9" s="663" t="n">
        <f aca="false">E9*D9</f>
        <v>10.86</v>
      </c>
      <c r="G9" s="670" t="s">
        <v>211</v>
      </c>
      <c r="H9" s="671" t="n">
        <v>0</v>
      </c>
      <c r="I9" s="674" t="n">
        <f aca="false">J7/100*H9</f>
        <v>0</v>
      </c>
      <c r="J9" s="672" t="n">
        <f aca="false">I9+J7</f>
        <v>781.3064</v>
      </c>
      <c r="K9" s="660" t="s">
        <v>220</v>
      </c>
      <c r="L9" s="660"/>
      <c r="M9" s="676" t="n">
        <v>6</v>
      </c>
      <c r="N9" s="663" t="n">
        <v>0</v>
      </c>
      <c r="O9" s="663" t="n">
        <f aca="false">N9*M9</f>
        <v>0</v>
      </c>
      <c r="P9" s="680"/>
      <c r="Q9" s="680"/>
      <c r="R9" s="680"/>
      <c r="S9" s="681"/>
    </row>
    <row r="10" customFormat="false" ht="12.75" hidden="false" customHeight="false" outlineLevel="0" collapsed="false">
      <c r="A10" s="659" t="s">
        <v>213</v>
      </c>
      <c r="B10" s="669" t="n">
        <v>1</v>
      </c>
      <c r="C10" s="660" t="n">
        <v>11.5</v>
      </c>
      <c r="D10" s="676" t="n">
        <f aca="false">B10</f>
        <v>1</v>
      </c>
      <c r="E10" s="663" t="n">
        <v>11.5</v>
      </c>
      <c r="F10" s="663" t="n">
        <f aca="false">E10*D10</f>
        <v>11.5</v>
      </c>
      <c r="G10" s="377"/>
      <c r="H10" s="377"/>
      <c r="I10" s="377"/>
      <c r="J10" s="682"/>
      <c r="K10" s="379"/>
      <c r="L10" s="380"/>
      <c r="M10" s="380"/>
      <c r="N10" s="381"/>
      <c r="O10" s="380"/>
      <c r="P10" s="382"/>
      <c r="Q10" s="382"/>
      <c r="R10" s="382"/>
      <c r="S10" s="383"/>
    </row>
    <row r="11" customFormat="false" ht="19.5" hidden="false" customHeight="false" outlineLevel="0" collapsed="false">
      <c r="A11" s="659" t="s">
        <v>217</v>
      </c>
      <c r="B11" s="669" t="n">
        <v>1</v>
      </c>
      <c r="C11" s="660"/>
      <c r="D11" s="676" t="n">
        <f aca="false">B11</f>
        <v>1</v>
      </c>
      <c r="E11" s="663" t="n">
        <v>11.5</v>
      </c>
      <c r="F11" s="663" t="n">
        <f aca="false">E11*D11</f>
        <v>11.5</v>
      </c>
      <c r="G11" s="678" t="s">
        <v>219</v>
      </c>
      <c r="H11" s="678"/>
      <c r="I11" s="683" t="n">
        <f aca="false">J9/E2*1000</f>
        <v>781.3064</v>
      </c>
      <c r="J11" s="683"/>
    </row>
    <row r="12" customFormat="false" ht="12.75" hidden="false" customHeight="false" outlineLevel="0" collapsed="false">
      <c r="A12" s="659" t="s">
        <v>220</v>
      </c>
      <c r="B12" s="659"/>
      <c r="C12" s="660"/>
      <c r="D12" s="676" t="n">
        <v>1</v>
      </c>
      <c r="E12" s="663" t="n">
        <v>0</v>
      </c>
      <c r="F12" s="663" t="n">
        <f aca="false">E12*D12</f>
        <v>0</v>
      </c>
      <c r="G12" s="680"/>
      <c r="H12" s="680"/>
      <c r="I12" s="680"/>
      <c r="J12" s="684"/>
    </row>
    <row r="13" customFormat="false" ht="13.5" hidden="false" customHeight="false" outlineLevel="0" collapsed="false">
      <c r="A13" s="685"/>
      <c r="B13" s="686"/>
      <c r="C13" s="687"/>
      <c r="D13" s="687"/>
      <c r="E13" s="688"/>
      <c r="F13" s="687"/>
      <c r="G13" s="689"/>
      <c r="H13" s="689"/>
      <c r="I13" s="689"/>
      <c r="J13" s="690"/>
    </row>
    <row r="14" customFormat="false" ht="13.5" hidden="false" customHeight="false" outlineLevel="0" collapsed="false">
      <c r="A14" s="691"/>
      <c r="B14" s="692"/>
      <c r="C14" s="691"/>
      <c r="E14" s="691"/>
      <c r="F14" s="691"/>
      <c r="H14" s="691"/>
    </row>
    <row r="15" customFormat="false" ht="27" hidden="false" customHeight="false" outlineLevel="0" collapsed="false">
      <c r="A15" s="693" t="s">
        <v>221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4" t="s">
        <v>222</v>
      </c>
      <c r="L15" s="694"/>
      <c r="M15" s="694" t="s">
        <v>223</v>
      </c>
      <c r="N15" s="694" t="s">
        <v>36</v>
      </c>
      <c r="O15" s="694"/>
    </row>
    <row r="16" customFormat="false" ht="18" hidden="false" customHeight="true" outlineLevel="0" collapsed="false">
      <c r="A16" s="647" t="s">
        <v>200</v>
      </c>
      <c r="B16" s="648"/>
      <c r="C16" s="359"/>
      <c r="D16" s="649"/>
      <c r="E16" s="650" t="n">
        <v>1000</v>
      </c>
      <c r="F16" s="651" t="s">
        <v>29</v>
      </c>
      <c r="G16" s="360" t="n">
        <v>920</v>
      </c>
      <c r="H16" s="360"/>
      <c r="I16" s="695" t="n">
        <v>900</v>
      </c>
      <c r="J16" s="695"/>
      <c r="K16" s="696" t="s">
        <v>224</v>
      </c>
      <c r="L16" s="696"/>
      <c r="M16" s="697" t="n">
        <v>12.7</v>
      </c>
      <c r="N16" s="698" t="n">
        <v>12.46</v>
      </c>
      <c r="O16" s="698"/>
      <c r="S16" s="699" t="s">
        <v>225</v>
      </c>
      <c r="T16" s="699"/>
      <c r="U16" s="699"/>
      <c r="V16" s="699"/>
      <c r="W16" s="699"/>
      <c r="X16" s="699"/>
    </row>
    <row r="17" customFormat="false" ht="12.75" hidden="false" customHeight="false" outlineLevel="0" collapsed="false">
      <c r="A17" s="700" t="s">
        <v>226</v>
      </c>
      <c r="B17" s="701"/>
      <c r="C17" s="702"/>
      <c r="D17" s="703"/>
      <c r="E17" s="704" t="n">
        <v>110</v>
      </c>
      <c r="F17" s="361"/>
      <c r="G17" s="361"/>
      <c r="H17" s="361"/>
      <c r="I17" s="361"/>
      <c r="J17" s="367"/>
      <c r="K17" s="696" t="s">
        <v>227</v>
      </c>
      <c r="L17" s="696"/>
      <c r="M17" s="697" t="n">
        <v>19.05</v>
      </c>
      <c r="N17" s="698" t="n">
        <v>18.62</v>
      </c>
      <c r="O17" s="698"/>
    </row>
    <row r="18" customFormat="false" ht="21" hidden="false" customHeight="true" outlineLevel="0" collapsed="false">
      <c r="A18" s="655"/>
      <c r="B18" s="656"/>
      <c r="C18" s="705" t="s">
        <v>228</v>
      </c>
      <c r="D18" s="377" t="s">
        <v>202</v>
      </c>
      <c r="E18" s="377" t="s">
        <v>203</v>
      </c>
      <c r="F18" s="377" t="s">
        <v>204</v>
      </c>
      <c r="G18" s="361"/>
      <c r="H18" s="361"/>
      <c r="I18" s="361"/>
      <c r="J18" s="367"/>
      <c r="K18" s="696" t="s">
        <v>229</v>
      </c>
      <c r="L18" s="696"/>
      <c r="M18" s="697" t="n">
        <v>25.4</v>
      </c>
      <c r="N18" s="698" t="n">
        <v>22.55</v>
      </c>
      <c r="O18" s="698"/>
      <c r="P18" s="354" t="s">
        <v>230</v>
      </c>
      <c r="S18" s="706" t="s">
        <v>231</v>
      </c>
      <c r="T18" s="706"/>
      <c r="U18" s="706"/>
      <c r="V18" s="706"/>
      <c r="W18" s="706"/>
      <c r="X18" s="706"/>
    </row>
    <row r="19" customFormat="false" ht="12.75" hidden="false" customHeight="false" outlineLevel="0" collapsed="false">
      <c r="A19" s="659" t="s">
        <v>205</v>
      </c>
      <c r="B19" s="659"/>
      <c r="C19" s="707" t="n">
        <v>38.1</v>
      </c>
      <c r="D19" s="661" t="n">
        <f aca="false">E16</f>
        <v>1000</v>
      </c>
      <c r="E19" s="662" t="n">
        <v>35.52</v>
      </c>
      <c r="F19" s="663" t="n">
        <f aca="false">E19*D19/1000</f>
        <v>35.52</v>
      </c>
      <c r="G19" s="0" t="s">
        <v>206</v>
      </c>
      <c r="H19" s="708" t="n">
        <f aca="false">SUM(F19:F27)</f>
        <v>621.3748</v>
      </c>
      <c r="I19" s="708"/>
      <c r="J19" s="708"/>
      <c r="K19" s="696" t="s">
        <v>232</v>
      </c>
      <c r="L19" s="696"/>
      <c r="M19" s="697" t="n">
        <v>38.1</v>
      </c>
      <c r="N19" s="698" t="n">
        <v>35.52</v>
      </c>
      <c r="O19" s="698"/>
    </row>
    <row r="20" customFormat="false" ht="12.75" hidden="false" customHeight="false" outlineLevel="0" collapsed="false">
      <c r="A20" s="668" t="s">
        <v>209</v>
      </c>
      <c r="B20" s="669" t="n">
        <v>1</v>
      </c>
      <c r="C20" s="707" t="n">
        <v>38.1</v>
      </c>
      <c r="D20" s="661" t="n">
        <f aca="false">E16*B20</f>
        <v>1000</v>
      </c>
      <c r="E20" s="662" t="n">
        <v>0</v>
      </c>
      <c r="F20" s="663" t="n">
        <f aca="false">E20*D20/1000</f>
        <v>0</v>
      </c>
      <c r="G20" s="670"/>
      <c r="H20" s="671"/>
      <c r="I20" s="371"/>
      <c r="J20" s="709"/>
      <c r="K20" s="696" t="s">
        <v>233</v>
      </c>
      <c r="L20" s="696"/>
      <c r="M20" s="697" t="n">
        <v>50.8</v>
      </c>
      <c r="N20" s="698" t="n">
        <v>47.8</v>
      </c>
      <c r="O20" s="698"/>
    </row>
    <row r="21" customFormat="false" ht="12.75" hidden="false" customHeight="false" outlineLevel="0" collapsed="false">
      <c r="A21" s="659" t="s">
        <v>212</v>
      </c>
      <c r="B21" s="669" t="n">
        <v>2</v>
      </c>
      <c r="C21" s="707" t="n">
        <v>38.1</v>
      </c>
      <c r="D21" s="661" t="n">
        <f aca="false">B21*G16</f>
        <v>1840</v>
      </c>
      <c r="E21" s="662" t="n">
        <v>35.52</v>
      </c>
      <c r="F21" s="663" t="n">
        <f aca="false">E21*D21/1000</f>
        <v>65.3568</v>
      </c>
      <c r="G21" s="670" t="s">
        <v>136</v>
      </c>
      <c r="H21" s="671" t="n">
        <v>3</v>
      </c>
      <c r="I21" s="371" t="s">
        <v>208</v>
      </c>
      <c r="J21" s="709" t="n">
        <f aca="false">H19*H21</f>
        <v>1864.1244</v>
      </c>
      <c r="K21" s="694" t="s">
        <v>234</v>
      </c>
      <c r="L21" s="694"/>
      <c r="M21" s="694"/>
      <c r="N21" s="694"/>
      <c r="O21" s="694"/>
    </row>
    <row r="22" customFormat="false" ht="12.75" hidden="false" customHeight="false" outlineLevel="0" collapsed="false">
      <c r="A22" s="659" t="s">
        <v>216</v>
      </c>
      <c r="B22" s="669" t="n">
        <v>1</v>
      </c>
      <c r="C22" s="710" t="n">
        <v>19.05</v>
      </c>
      <c r="D22" s="661" t="n">
        <v>9000</v>
      </c>
      <c r="E22" s="662" t="n">
        <v>18.62</v>
      </c>
      <c r="F22" s="663" t="n">
        <f aca="false">E22*D22/1000</f>
        <v>167.58</v>
      </c>
      <c r="G22" s="670"/>
      <c r="H22" s="671"/>
      <c r="I22" s="371"/>
      <c r="J22" s="709"/>
      <c r="K22" s="696" t="s">
        <v>224</v>
      </c>
      <c r="L22" s="696"/>
      <c r="M22" s="697" t="n">
        <v>12.7</v>
      </c>
      <c r="N22" s="698" t="n">
        <v>7.86</v>
      </c>
      <c r="O22" s="698"/>
    </row>
    <row r="23" customFormat="false" ht="12.75" hidden="false" customHeight="false" outlineLevel="0" collapsed="false">
      <c r="A23" s="659" t="s">
        <v>216</v>
      </c>
      <c r="B23" s="669" t="n">
        <v>1</v>
      </c>
      <c r="C23" s="710" t="n">
        <v>19.05</v>
      </c>
      <c r="D23" s="661" t="n">
        <f aca="false">B23*I16</f>
        <v>900</v>
      </c>
      <c r="E23" s="662" t="n">
        <v>18.62</v>
      </c>
      <c r="F23" s="663" t="n">
        <f aca="false">E23*D23/1000</f>
        <v>16.758</v>
      </c>
      <c r="G23" s="670"/>
      <c r="H23" s="671"/>
      <c r="I23" s="371"/>
      <c r="J23" s="709"/>
      <c r="K23" s="696"/>
      <c r="L23" s="696"/>
      <c r="M23" s="697"/>
      <c r="N23" s="698"/>
      <c r="O23" s="698"/>
    </row>
    <row r="24" customFormat="false" ht="12.75" hidden="false" customHeight="false" outlineLevel="0" collapsed="false">
      <c r="A24" s="659" t="s">
        <v>210</v>
      </c>
      <c r="B24" s="669" t="n">
        <v>2</v>
      </c>
      <c r="C24" s="707" t="n">
        <v>10.86</v>
      </c>
      <c r="D24" s="676" t="n">
        <v>7</v>
      </c>
      <c r="E24" s="662" t="n">
        <v>35.52</v>
      </c>
      <c r="F24" s="663" t="n">
        <f aca="false">E24*D24</f>
        <v>248.64</v>
      </c>
      <c r="G24" s="670" t="s">
        <v>211</v>
      </c>
      <c r="H24" s="671" t="n">
        <v>0</v>
      </c>
      <c r="I24" s="674" t="n">
        <f aca="false">J21/100*H24</f>
        <v>0</v>
      </c>
      <c r="J24" s="709" t="n">
        <f aca="false">I24+J21</f>
        <v>1864.1244</v>
      </c>
      <c r="K24" s="696" t="s">
        <v>227</v>
      </c>
      <c r="L24" s="696"/>
      <c r="M24" s="697" t="n">
        <v>19.05</v>
      </c>
      <c r="N24" s="698" t="n">
        <v>9.52</v>
      </c>
      <c r="O24" s="698"/>
    </row>
    <row r="25" customFormat="false" ht="12.75" hidden="false" customHeight="false" outlineLevel="0" collapsed="false">
      <c r="A25" s="659" t="s">
        <v>213</v>
      </c>
      <c r="B25" s="669" t="n">
        <v>1</v>
      </c>
      <c r="C25" s="707" t="n">
        <v>11.5</v>
      </c>
      <c r="D25" s="676" t="n">
        <v>7</v>
      </c>
      <c r="E25" s="663" t="n">
        <v>10.86</v>
      </c>
      <c r="F25" s="663" t="n">
        <f aca="false">E25*D25</f>
        <v>76.02</v>
      </c>
      <c r="G25" s="377"/>
      <c r="H25" s="377"/>
      <c r="I25" s="377"/>
      <c r="J25" s="711"/>
      <c r="K25" s="696" t="s">
        <v>229</v>
      </c>
      <c r="L25" s="696"/>
      <c r="M25" s="697" t="n">
        <v>25.4</v>
      </c>
      <c r="N25" s="698" t="n">
        <v>9.46</v>
      </c>
      <c r="O25" s="698"/>
    </row>
    <row r="26" customFormat="false" ht="19.5" hidden="false" customHeight="false" outlineLevel="0" collapsed="false">
      <c r="A26" s="659" t="s">
        <v>217</v>
      </c>
      <c r="B26" s="669" t="n">
        <v>1</v>
      </c>
      <c r="C26" s="707"/>
      <c r="D26" s="676" t="n">
        <f aca="false">B26</f>
        <v>1</v>
      </c>
      <c r="E26" s="663" t="n">
        <v>11.5</v>
      </c>
      <c r="F26" s="663" t="n">
        <f aca="false">E26*D26</f>
        <v>11.5</v>
      </c>
      <c r="G26" s="678" t="s">
        <v>219</v>
      </c>
      <c r="H26" s="678"/>
      <c r="I26" s="712" t="n">
        <f aca="false">J24/E16*1000</f>
        <v>1864.1244</v>
      </c>
      <c r="J26" s="712"/>
      <c r="K26" s="696" t="s">
        <v>235</v>
      </c>
      <c r="L26" s="696"/>
      <c r="M26" s="697" t="n">
        <v>38.1</v>
      </c>
      <c r="N26" s="698" t="n">
        <v>10.86</v>
      </c>
      <c r="O26" s="698"/>
    </row>
    <row r="27" customFormat="false" ht="12.75" hidden="false" customHeight="false" outlineLevel="0" collapsed="false">
      <c r="A27" s="659" t="s">
        <v>220</v>
      </c>
      <c r="B27" s="659"/>
      <c r="C27" s="707"/>
      <c r="D27" s="676"/>
      <c r="E27" s="663"/>
      <c r="F27" s="663" t="n">
        <f aca="false">E27*D27</f>
        <v>0</v>
      </c>
      <c r="G27" s="680"/>
      <c r="H27" s="680"/>
      <c r="I27" s="680"/>
      <c r="J27" s="713"/>
      <c r="K27" s="696" t="s">
        <v>236</v>
      </c>
      <c r="L27" s="696"/>
      <c r="M27" s="697" t="n">
        <v>50.8</v>
      </c>
      <c r="N27" s="698" t="n">
        <v>18.9</v>
      </c>
      <c r="O27" s="698"/>
    </row>
    <row r="28" customFormat="false" ht="13.5" hidden="false" customHeight="false" outlineLevel="0" collapsed="false">
      <c r="A28" s="685"/>
      <c r="B28" s="686"/>
      <c r="C28" s="687" t="s">
        <v>237</v>
      </c>
      <c r="D28" s="687"/>
      <c r="E28" s="688"/>
      <c r="F28" s="687"/>
      <c r="G28" s="689"/>
      <c r="H28" s="689"/>
      <c r="I28" s="689"/>
      <c r="J28" s="714"/>
      <c r="K28" s="697"/>
      <c r="L28" s="697"/>
      <c r="M28" s="697"/>
      <c r="N28" s="698"/>
      <c r="O28" s="698"/>
    </row>
    <row r="29" customFormat="false" ht="13.5" hidden="false" customHeight="false" outlineLevel="0" collapsed="false"/>
    <row r="30" customFormat="false" ht="27" hidden="false" customHeight="true" outlineLevel="0" collapsed="false">
      <c r="A30" s="693" t="s">
        <v>238</v>
      </c>
      <c r="B30" s="693"/>
      <c r="C30" s="693"/>
      <c r="D30" s="693"/>
      <c r="E30" s="693"/>
      <c r="F30" s="693"/>
      <c r="G30" s="693"/>
      <c r="H30" s="693"/>
      <c r="I30" s="715" t="s">
        <v>239</v>
      </c>
      <c r="J30" s="715"/>
      <c r="K30" s="716" t="s">
        <v>240</v>
      </c>
      <c r="L30" s="716"/>
      <c r="M30" s="716"/>
      <c r="N30" s="716"/>
      <c r="O30" s="716"/>
      <c r="P30" s="717" t="s">
        <v>241</v>
      </c>
    </row>
    <row r="31" customFormat="false" ht="18" hidden="false" customHeight="false" outlineLevel="0" collapsed="false">
      <c r="A31" s="647" t="s">
        <v>200</v>
      </c>
      <c r="B31" s="648"/>
      <c r="C31" s="359"/>
      <c r="D31" s="649"/>
      <c r="E31" s="650" t="n">
        <v>7000</v>
      </c>
      <c r="F31" s="651" t="s">
        <v>29</v>
      </c>
      <c r="G31" s="360" t="n">
        <v>920</v>
      </c>
      <c r="H31" s="360"/>
      <c r="I31" s="718" t="n">
        <v>1000</v>
      </c>
      <c r="J31" s="718"/>
      <c r="K31" s="719" t="s">
        <v>242</v>
      </c>
      <c r="L31" s="719"/>
      <c r="M31" s="719"/>
      <c r="N31" s="720" t="n">
        <v>180</v>
      </c>
      <c r="O31" s="720"/>
      <c r="P31" s="717"/>
    </row>
    <row r="32" customFormat="false" ht="18.75" hidden="false" customHeight="false" outlineLevel="0" collapsed="false">
      <c r="A32" s="655"/>
      <c r="B32" s="656"/>
      <c r="C32" s="705" t="s">
        <v>228</v>
      </c>
      <c r="D32" s="377" t="s">
        <v>202</v>
      </c>
      <c r="E32" s="377" t="s">
        <v>203</v>
      </c>
      <c r="F32" s="377" t="s">
        <v>204</v>
      </c>
      <c r="G32" s="361"/>
      <c r="H32" s="361"/>
      <c r="I32" s="361"/>
      <c r="J32" s="652"/>
      <c r="K32" s="719" t="s">
        <v>243</v>
      </c>
      <c r="L32" s="719"/>
      <c r="M32" s="719"/>
      <c r="N32" s="720" t="n">
        <v>260</v>
      </c>
      <c r="O32" s="720"/>
      <c r="P32" s="717"/>
    </row>
    <row r="33" customFormat="false" ht="12.75" hidden="false" customHeight="false" outlineLevel="0" collapsed="false">
      <c r="A33" s="659" t="s">
        <v>205</v>
      </c>
      <c r="B33" s="659"/>
      <c r="C33" s="707" t="n">
        <v>50.8</v>
      </c>
      <c r="D33" s="661" t="n">
        <f aca="false">E31</f>
        <v>7000</v>
      </c>
      <c r="E33" s="662" t="n">
        <v>38</v>
      </c>
      <c r="F33" s="663" t="n">
        <f aca="false">E33*D33/1000</f>
        <v>266</v>
      </c>
      <c r="G33" s="721" t="s">
        <v>206</v>
      </c>
      <c r="H33" s="722" t="n">
        <f aca="false">SUM(F33:F40)</f>
        <v>999.64</v>
      </c>
      <c r="I33" s="722"/>
      <c r="J33" s="722"/>
      <c r="K33" s="719" t="s">
        <v>244</v>
      </c>
      <c r="L33" s="719"/>
      <c r="M33" s="719"/>
      <c r="N33" s="720" t="n">
        <v>300</v>
      </c>
      <c r="O33" s="720"/>
      <c r="P33" s="717"/>
    </row>
    <row r="34" customFormat="false" ht="12.75" hidden="false" customHeight="false" outlineLevel="0" collapsed="false">
      <c r="A34" s="668" t="s">
        <v>209</v>
      </c>
      <c r="B34" s="669" t="n">
        <v>2</v>
      </c>
      <c r="C34" s="707" t="n">
        <v>38.1</v>
      </c>
      <c r="D34" s="661" t="n">
        <f aca="false">E31*B34</f>
        <v>14000</v>
      </c>
      <c r="E34" s="662" t="n">
        <v>29</v>
      </c>
      <c r="F34" s="663" t="n">
        <f aca="false">E34*D34/1000</f>
        <v>406</v>
      </c>
      <c r="G34" s="670"/>
      <c r="H34" s="671"/>
      <c r="I34" s="371"/>
      <c r="J34" s="672"/>
      <c r="K34" s="719" t="s">
        <v>245</v>
      </c>
      <c r="L34" s="719"/>
      <c r="M34" s="719"/>
      <c r="N34" s="720" t="n">
        <v>0</v>
      </c>
      <c r="O34" s="720"/>
      <c r="P34" s="717"/>
    </row>
    <row r="35" customFormat="false" ht="12.75" hidden="false" customHeight="false" outlineLevel="0" collapsed="false">
      <c r="A35" s="659" t="s">
        <v>212</v>
      </c>
      <c r="B35" s="669" t="n">
        <f aca="false">E31/1500+1</f>
        <v>5.66666666666667</v>
      </c>
      <c r="C35" s="707" t="n">
        <v>50.8</v>
      </c>
      <c r="D35" s="661" t="n">
        <f aca="false">B35*G31</f>
        <v>5213.33333333333</v>
      </c>
      <c r="E35" s="662" t="n">
        <v>28</v>
      </c>
      <c r="F35" s="663" t="n">
        <f aca="false">E35*D35/1000</f>
        <v>145.973333333333</v>
      </c>
      <c r="G35" s="670" t="s">
        <v>136</v>
      </c>
      <c r="H35" s="671" t="n">
        <v>3</v>
      </c>
      <c r="I35" s="371" t="s">
        <v>208</v>
      </c>
      <c r="J35" s="672" t="n">
        <f aca="false">H33*H35+F41</f>
        <v>5518.92</v>
      </c>
      <c r="K35" s="719" t="s">
        <v>246</v>
      </c>
      <c r="L35" s="719"/>
      <c r="M35" s="719"/>
      <c r="N35" s="720" t="n">
        <v>0</v>
      </c>
      <c r="O35" s="720"/>
      <c r="P35" s="717"/>
    </row>
    <row r="36" customFormat="false" ht="12.75" hidden="false" customHeight="false" outlineLevel="0" collapsed="false">
      <c r="A36" s="659" t="s">
        <v>216</v>
      </c>
      <c r="B36" s="669"/>
      <c r="C36" s="707" t="n">
        <v>12.7</v>
      </c>
      <c r="D36" s="661"/>
      <c r="E36" s="662" t="n">
        <v>8</v>
      </c>
      <c r="F36" s="663" t="n">
        <f aca="false">E36*D36/1000</f>
        <v>0</v>
      </c>
      <c r="G36" s="670"/>
      <c r="H36" s="671"/>
      <c r="I36" s="371"/>
      <c r="J36" s="672"/>
      <c r="K36" s="723"/>
      <c r="L36" s="723"/>
      <c r="M36" s="723"/>
      <c r="N36" s="720"/>
      <c r="O36" s="720"/>
      <c r="P36" s="717"/>
    </row>
    <row r="37" customFormat="false" ht="12.75" hidden="false" customHeight="false" outlineLevel="0" collapsed="false">
      <c r="A37" s="659" t="s">
        <v>210</v>
      </c>
      <c r="B37" s="669" t="n">
        <v>2</v>
      </c>
      <c r="C37" s="707" t="n">
        <f aca="false">C33</f>
        <v>50.8</v>
      </c>
      <c r="D37" s="676" t="n">
        <f aca="false">B37</f>
        <v>2</v>
      </c>
      <c r="E37" s="662" t="n">
        <v>20</v>
      </c>
      <c r="F37" s="663" t="n">
        <f aca="false">E37*D37</f>
        <v>40</v>
      </c>
      <c r="G37" s="670" t="s">
        <v>211</v>
      </c>
      <c r="H37" s="671" t="n">
        <v>0</v>
      </c>
      <c r="I37" s="674" t="n">
        <f aca="false">J35/100*H37</f>
        <v>0</v>
      </c>
      <c r="J37" s="672" t="n">
        <f aca="false">I37+J35</f>
        <v>5518.92</v>
      </c>
      <c r="K37" s="716" t="s">
        <v>247</v>
      </c>
      <c r="L37" s="716"/>
      <c r="M37" s="716"/>
      <c r="N37" s="716"/>
      <c r="O37" s="716"/>
      <c r="P37" s="717"/>
    </row>
    <row r="38" customFormat="false" ht="12.75" hidden="false" customHeight="false" outlineLevel="0" collapsed="false">
      <c r="A38" s="659" t="s">
        <v>213</v>
      </c>
      <c r="B38" s="669" t="n">
        <f aca="false">B35</f>
        <v>5.66666666666667</v>
      </c>
      <c r="C38" s="707"/>
      <c r="D38" s="676" t="n">
        <f aca="false">B38</f>
        <v>5.66666666666667</v>
      </c>
      <c r="E38" s="663" t="n">
        <v>10</v>
      </c>
      <c r="F38" s="663" t="n">
        <f aca="false">E38*D38</f>
        <v>56.6666666666667</v>
      </c>
      <c r="G38" s="377"/>
      <c r="H38" s="377"/>
      <c r="I38" s="377"/>
      <c r="J38" s="682"/>
      <c r="K38" s="719" t="s">
        <v>242</v>
      </c>
      <c r="L38" s="719"/>
      <c r="M38" s="719"/>
      <c r="N38" s="720" t="n">
        <v>380</v>
      </c>
      <c r="O38" s="720"/>
      <c r="P38" s="717"/>
    </row>
    <row r="39" customFormat="false" ht="19.5" hidden="false" customHeight="false" outlineLevel="0" collapsed="false">
      <c r="A39" s="659" t="s">
        <v>217</v>
      </c>
      <c r="B39" s="669" t="n">
        <f aca="false">B35</f>
        <v>5.66666666666667</v>
      </c>
      <c r="C39" s="707"/>
      <c r="D39" s="676" t="n">
        <f aca="false">B39</f>
        <v>5.66666666666667</v>
      </c>
      <c r="E39" s="663" t="n">
        <v>10</v>
      </c>
      <c r="F39" s="663" t="n">
        <f aca="false">E39*D39</f>
        <v>56.6666666666667</v>
      </c>
      <c r="G39" s="678" t="s">
        <v>219</v>
      </c>
      <c r="H39" s="678"/>
      <c r="I39" s="683" t="n">
        <f aca="false">J37/E31*1000</f>
        <v>788.417142857143</v>
      </c>
      <c r="J39" s="683"/>
      <c r="K39" s="719" t="s">
        <v>243</v>
      </c>
      <c r="L39" s="719"/>
      <c r="M39" s="719"/>
      <c r="N39" s="720" t="n">
        <v>380</v>
      </c>
      <c r="O39" s="720"/>
      <c r="P39" s="717"/>
    </row>
    <row r="40" customFormat="false" ht="19.5" hidden="false" customHeight="false" outlineLevel="0" collapsed="false">
      <c r="A40" s="659" t="s">
        <v>220</v>
      </c>
      <c r="B40" s="659"/>
      <c r="C40" s="707"/>
      <c r="D40" s="676" t="n">
        <f aca="false">B38</f>
        <v>5.66666666666667</v>
      </c>
      <c r="E40" s="663" t="n">
        <v>5</v>
      </c>
      <c r="F40" s="663" t="n">
        <f aca="false">E40*D40</f>
        <v>28.3333333333333</v>
      </c>
      <c r="G40" s="724"/>
      <c r="H40" s="725"/>
      <c r="I40" s="726"/>
      <c r="J40" s="727"/>
      <c r="K40" s="719" t="s">
        <v>244</v>
      </c>
      <c r="L40" s="719"/>
      <c r="M40" s="719"/>
      <c r="N40" s="720" t="n">
        <v>380</v>
      </c>
      <c r="O40" s="720"/>
      <c r="P40" s="717"/>
    </row>
    <row r="41" customFormat="false" ht="12.75" hidden="false" customHeight="false" outlineLevel="0" collapsed="false">
      <c r="A41" s="728" t="s">
        <v>248</v>
      </c>
      <c r="B41" s="728"/>
      <c r="C41" s="729" t="n">
        <f aca="false">I31*E31/1000000</f>
        <v>7</v>
      </c>
      <c r="D41" s="730" t="s">
        <v>249</v>
      </c>
      <c r="E41" s="730" t="n">
        <v>360</v>
      </c>
      <c r="F41" s="731" t="n">
        <f aca="false">E41*C41</f>
        <v>2520</v>
      </c>
      <c r="G41" s="680"/>
      <c r="H41" s="680"/>
      <c r="I41" s="680"/>
      <c r="J41" s="684"/>
      <c r="K41" s="719" t="s">
        <v>245</v>
      </c>
      <c r="L41" s="719"/>
      <c r="M41" s="719"/>
      <c r="N41" s="720" t="n">
        <v>420</v>
      </c>
      <c r="O41" s="720"/>
      <c r="P41" s="717"/>
    </row>
    <row r="42" customFormat="false" ht="13.5" hidden="false" customHeight="false" outlineLevel="0" collapsed="false">
      <c r="A42" s="685"/>
      <c r="B42" s="686"/>
      <c r="C42" s="687"/>
      <c r="D42" s="687"/>
      <c r="E42" s="688"/>
      <c r="F42" s="687"/>
      <c r="G42" s="689"/>
      <c r="H42" s="689"/>
      <c r="I42" s="689"/>
      <c r="J42" s="690"/>
      <c r="K42" s="719" t="s">
        <v>246</v>
      </c>
      <c r="L42" s="719"/>
      <c r="M42" s="719"/>
      <c r="N42" s="720" t="n">
        <v>600</v>
      </c>
      <c r="O42" s="720"/>
      <c r="P42" s="717"/>
    </row>
  </sheetData>
  <mergeCells count="82">
    <mergeCell ref="A1:J1"/>
    <mergeCell ref="K1:S1"/>
    <mergeCell ref="G2:H2"/>
    <mergeCell ref="A5:B5"/>
    <mergeCell ref="H5:J5"/>
    <mergeCell ref="P8:Q8"/>
    <mergeCell ref="R8:S8"/>
    <mergeCell ref="G11:H11"/>
    <mergeCell ref="I11:J11"/>
    <mergeCell ref="A12:B12"/>
    <mergeCell ref="A15:J15"/>
    <mergeCell ref="K15:L15"/>
    <mergeCell ref="N15:O15"/>
    <mergeCell ref="G16:H16"/>
    <mergeCell ref="I16:J16"/>
    <mergeCell ref="K16:L16"/>
    <mergeCell ref="N16:O16"/>
    <mergeCell ref="S16:X16"/>
    <mergeCell ref="K17:L17"/>
    <mergeCell ref="N17:O17"/>
    <mergeCell ref="K18:L18"/>
    <mergeCell ref="N18:O18"/>
    <mergeCell ref="S18:X18"/>
    <mergeCell ref="A19:B19"/>
    <mergeCell ref="H19:J19"/>
    <mergeCell ref="K19:L19"/>
    <mergeCell ref="N19:O19"/>
    <mergeCell ref="K20:L20"/>
    <mergeCell ref="N20:O20"/>
    <mergeCell ref="K21:O21"/>
    <mergeCell ref="K22:L22"/>
    <mergeCell ref="N22:O22"/>
    <mergeCell ref="K23:L23"/>
    <mergeCell ref="N23:O23"/>
    <mergeCell ref="K24:L24"/>
    <mergeCell ref="N24:O24"/>
    <mergeCell ref="K25:L25"/>
    <mergeCell ref="N25:O25"/>
    <mergeCell ref="G26:H26"/>
    <mergeCell ref="I26:J26"/>
    <mergeCell ref="K26:L26"/>
    <mergeCell ref="N26:O26"/>
    <mergeCell ref="A27:B27"/>
    <mergeCell ref="K27:L27"/>
    <mergeCell ref="N27:O27"/>
    <mergeCell ref="K28:L28"/>
    <mergeCell ref="N28:O28"/>
    <mergeCell ref="A30:H30"/>
    <mergeCell ref="I30:J30"/>
    <mergeCell ref="K30:O30"/>
    <mergeCell ref="P30:P42"/>
    <mergeCell ref="G31:H31"/>
    <mergeCell ref="I31:J31"/>
    <mergeCell ref="K31:M31"/>
    <mergeCell ref="N31:O31"/>
    <mergeCell ref="K32:M32"/>
    <mergeCell ref="N32:O32"/>
    <mergeCell ref="A33:B33"/>
    <mergeCell ref="H33:J33"/>
    <mergeCell ref="K33:M33"/>
    <mergeCell ref="N33:O33"/>
    <mergeCell ref="K34:M34"/>
    <mergeCell ref="N34:O34"/>
    <mergeCell ref="K35:M35"/>
    <mergeCell ref="N35:O35"/>
    <mergeCell ref="K36:M36"/>
    <mergeCell ref="N36:O36"/>
    <mergeCell ref="K37:O37"/>
    <mergeCell ref="K38:M38"/>
    <mergeCell ref="N38:O38"/>
    <mergeCell ref="G39:H39"/>
    <mergeCell ref="I39:J39"/>
    <mergeCell ref="K39:M39"/>
    <mergeCell ref="N39:O39"/>
    <mergeCell ref="A40:B40"/>
    <mergeCell ref="K40:M40"/>
    <mergeCell ref="N40:O40"/>
    <mergeCell ref="A41:B41"/>
    <mergeCell ref="K41:M41"/>
    <mergeCell ref="N41:O41"/>
    <mergeCell ref="K42:M42"/>
    <mergeCell ref="N42:O4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F4" activeCellId="0" sqref="F4"/>
    </sheetView>
  </sheetViews>
  <sheetFormatPr defaultColWidth="9.28125" defaultRowHeight="12.75" customHeight="false" zeroHeight="false" outlineLevelRow="0" outlineLevelCol="0"/>
  <cols>
    <col collapsed="false" customWidth="true" hidden="false" outlineLevel="0" max="1" min="1" style="354" width="11.7"/>
    <col collapsed="false" customWidth="true" hidden="false" outlineLevel="0" max="2" min="2" style="354" width="13.7"/>
    <col collapsed="false" customWidth="true" hidden="false" outlineLevel="0" max="3" min="3" style="354" width="6.28"/>
    <col collapsed="false" customWidth="true" hidden="false" outlineLevel="0" max="4" min="4" style="354" width="11.28"/>
    <col collapsed="false" customWidth="true" hidden="false" outlineLevel="0" max="5" min="5" style="354" width="8.56"/>
    <col collapsed="false" customWidth="true" hidden="false" outlineLevel="0" max="6" min="6" style="354" width="11.7"/>
    <col collapsed="false" customWidth="true" hidden="false" outlineLevel="0" max="7" min="7" style="354" width="10.41"/>
    <col collapsed="false" customWidth="true" hidden="false" outlineLevel="0" max="8" min="8" style="354" width="9.7"/>
    <col collapsed="false" customWidth="true" hidden="false" outlineLevel="0" max="9" min="9" style="354" width="18.85"/>
    <col collapsed="false" customWidth="true" hidden="false" outlineLevel="0" max="10" min="10" style="354" width="4.28"/>
    <col collapsed="false" customWidth="false" hidden="false" outlineLevel="0" max="257" min="11" style="354" width="9.28"/>
  </cols>
  <sheetData>
    <row r="1" customFormat="false" ht="25.15" hidden="false" customHeight="true" outlineLevel="0" collapsed="false">
      <c r="A1" s="732" t="s">
        <v>250</v>
      </c>
      <c r="B1" s="732"/>
      <c r="C1" s="732"/>
      <c r="D1" s="732"/>
      <c r="E1" s="732"/>
      <c r="F1" s="732"/>
      <c r="G1" s="732"/>
      <c r="H1" s="732"/>
      <c r="I1" s="732"/>
    </row>
    <row r="2" customFormat="false" ht="20.1" hidden="false" customHeight="true" outlineLevel="0" collapsed="false">
      <c r="A2" s="733"/>
      <c r="B2" s="734" t="s">
        <v>80</v>
      </c>
      <c r="C2" s="734"/>
      <c r="D2" s="734" t="s">
        <v>100</v>
      </c>
      <c r="E2" s="734"/>
      <c r="F2" s="734" t="s">
        <v>29</v>
      </c>
      <c r="G2" s="735"/>
      <c r="H2" s="736"/>
      <c r="I2" s="737"/>
      <c r="K2" s="738" t="s">
        <v>251</v>
      </c>
      <c r="L2" s="738"/>
      <c r="M2" s="738"/>
      <c r="N2" s="738"/>
    </row>
    <row r="3" customFormat="false" ht="20.1" hidden="false" customHeight="true" outlineLevel="0" collapsed="false">
      <c r="A3" s="647" t="s">
        <v>34</v>
      </c>
      <c r="B3" s="360" t="n">
        <v>500</v>
      </c>
      <c r="C3" s="360" t="s">
        <v>136</v>
      </c>
      <c r="D3" s="360" t="n">
        <v>300</v>
      </c>
      <c r="E3" s="360" t="s">
        <v>136</v>
      </c>
      <c r="F3" s="360" t="n">
        <v>780</v>
      </c>
      <c r="G3" s="739" t="s">
        <v>84</v>
      </c>
      <c r="H3" s="740"/>
      <c r="I3" s="740"/>
      <c r="K3" s="738"/>
      <c r="L3" s="738"/>
      <c r="M3" s="738"/>
      <c r="N3" s="738"/>
    </row>
    <row r="4" customFormat="false" ht="15.75" hidden="false" customHeight="true" outlineLevel="0" collapsed="false">
      <c r="A4" s="653"/>
      <c r="B4" s="370" t="n">
        <v>2800</v>
      </c>
      <c r="C4" s="371" t="s">
        <v>136</v>
      </c>
      <c r="D4" s="370" t="n">
        <f aca="false">F3+100</f>
        <v>880</v>
      </c>
      <c r="E4" s="741" t="n">
        <f aca="false">B4*D4*H5*8/1000000</f>
        <v>15.7696</v>
      </c>
      <c r="F4" s="742" t="n">
        <f aca="false">E4*I5*G4</f>
        <v>1545.4208</v>
      </c>
      <c r="G4" s="743" t="n">
        <v>2.8</v>
      </c>
      <c r="H4" s="368" t="s">
        <v>82</v>
      </c>
      <c r="I4" s="744" t="s">
        <v>36</v>
      </c>
      <c r="K4" s="738"/>
      <c r="L4" s="738"/>
      <c r="M4" s="738"/>
      <c r="N4" s="738"/>
    </row>
    <row r="5" customFormat="false" ht="15.75" hidden="false" customHeight="true" outlineLevel="0" collapsed="false">
      <c r="A5" s="745"/>
      <c r="B5" s="370" t="n">
        <f aca="false">B3+100</f>
        <v>600</v>
      </c>
      <c r="C5" s="371" t="s">
        <v>136</v>
      </c>
      <c r="D5" s="370" t="n">
        <f aca="false">D3+100</f>
        <v>400</v>
      </c>
      <c r="E5" s="741" t="n">
        <f aca="false">D5*B5*H5*8/1000000</f>
        <v>1.536</v>
      </c>
      <c r="F5" s="746" t="n">
        <f aca="false">E5*I5*G5</f>
        <v>150.528</v>
      </c>
      <c r="G5" s="743" t="n">
        <v>2.8</v>
      </c>
      <c r="H5" s="747" t="n">
        <v>0.8</v>
      </c>
      <c r="I5" s="748" t="n">
        <v>35</v>
      </c>
      <c r="K5" s="738"/>
      <c r="L5" s="738"/>
      <c r="M5" s="738"/>
      <c r="N5" s="738"/>
    </row>
    <row r="6" customFormat="false" ht="25.15" hidden="false" customHeight="true" outlineLevel="0" collapsed="false">
      <c r="A6" s="749" t="s">
        <v>252</v>
      </c>
      <c r="B6" s="750" t="n">
        <f aca="false">F4+F5</f>
        <v>1695.9488</v>
      </c>
      <c r="C6" s="750"/>
      <c r="D6" s="750"/>
      <c r="E6" s="751"/>
      <c r="F6" s="749" t="s">
        <v>253</v>
      </c>
      <c r="G6" s="750" t="n">
        <f aca="false">(F5*2)+F4</f>
        <v>1846.4768</v>
      </c>
      <c r="H6" s="750"/>
      <c r="I6" s="750"/>
      <c r="K6" s="738"/>
      <c r="L6" s="738"/>
      <c r="M6" s="738"/>
      <c r="N6" s="738"/>
    </row>
    <row r="7" customFormat="false" ht="23.1" hidden="false" customHeight="true" outlineLevel="0" collapsed="false">
      <c r="A7" s="732" t="s">
        <v>129</v>
      </c>
      <c r="B7" s="732"/>
      <c r="C7" s="732"/>
      <c r="D7" s="732"/>
      <c r="E7" s="732"/>
      <c r="F7" s="732"/>
      <c r="G7" s="732"/>
      <c r="H7" s="732"/>
      <c r="I7" s="732"/>
    </row>
    <row r="8" customFormat="false" ht="20.1" hidden="false" customHeight="true" outlineLevel="0" collapsed="false">
      <c r="A8" s="752"/>
      <c r="B8" s="753" t="s">
        <v>80</v>
      </c>
      <c r="C8" s="753"/>
      <c r="D8" s="734" t="s">
        <v>100</v>
      </c>
      <c r="E8" s="734"/>
      <c r="F8" s="754"/>
      <c r="G8" s="735"/>
      <c r="H8" s="380"/>
      <c r="I8" s="755"/>
    </row>
    <row r="9" customFormat="false" ht="20.1" hidden="false" customHeight="true" outlineLevel="0" collapsed="false">
      <c r="A9" s="647" t="s">
        <v>34</v>
      </c>
      <c r="B9" s="360" t="n">
        <v>500</v>
      </c>
      <c r="C9" s="360" t="s">
        <v>136</v>
      </c>
      <c r="D9" s="360" t="n">
        <v>400</v>
      </c>
      <c r="E9" s="756"/>
      <c r="F9" s="757" t="n">
        <v>3</v>
      </c>
      <c r="G9" s="758"/>
      <c r="H9" s="368" t="s">
        <v>82</v>
      </c>
      <c r="I9" s="744" t="s">
        <v>36</v>
      </c>
    </row>
    <row r="10" customFormat="false" ht="13.5" hidden="false" customHeight="true" outlineLevel="0" collapsed="false">
      <c r="A10" s="653"/>
      <c r="B10" s="759" t="n">
        <f aca="false">B9+100</f>
        <v>600</v>
      </c>
      <c r="C10" s="389"/>
      <c r="D10" s="759" t="n">
        <f aca="false">D9+100</f>
        <v>500</v>
      </c>
      <c r="E10" s="367" t="n">
        <v>2.8</v>
      </c>
      <c r="F10" s="757"/>
      <c r="G10" s="758"/>
      <c r="H10" s="729" t="n">
        <f aca="false">H5</f>
        <v>0.8</v>
      </c>
      <c r="I10" s="748" t="n">
        <f aca="false">I5</f>
        <v>35</v>
      </c>
    </row>
    <row r="11" customFormat="false" ht="25.15" hidden="false" customHeight="true" outlineLevel="0" collapsed="false">
      <c r="A11" s="750" t="n">
        <f aca="false">E10*I10*3.5</f>
        <v>343</v>
      </c>
      <c r="B11" s="750"/>
      <c r="C11" s="760" t="s">
        <v>131</v>
      </c>
      <c r="D11" s="750" t="n">
        <f aca="false">A11*F9</f>
        <v>1029</v>
      </c>
      <c r="E11" s="750"/>
      <c r="F11" s="750"/>
      <c r="G11" s="761"/>
      <c r="H11" s="761"/>
      <c r="I11" s="761"/>
    </row>
    <row r="12" customFormat="false" ht="23.1" hidden="false" customHeight="true" outlineLevel="0" collapsed="false">
      <c r="A12" s="732" t="s">
        <v>254</v>
      </c>
      <c r="B12" s="732"/>
      <c r="C12" s="732"/>
      <c r="D12" s="732"/>
      <c r="E12" s="732"/>
      <c r="F12" s="732"/>
      <c r="G12" s="732"/>
      <c r="H12" s="732"/>
      <c r="I12" s="732"/>
    </row>
    <row r="13" customFormat="false" ht="20.1" hidden="false" customHeight="true" outlineLevel="0" collapsed="false">
      <c r="A13" s="733"/>
      <c r="B13" s="734" t="s">
        <v>80</v>
      </c>
      <c r="C13" s="734"/>
      <c r="D13" s="734" t="s">
        <v>100</v>
      </c>
      <c r="E13" s="734"/>
      <c r="F13" s="734" t="s">
        <v>29</v>
      </c>
      <c r="G13" s="735"/>
      <c r="H13" s="736"/>
      <c r="I13" s="737"/>
    </row>
    <row r="14" customFormat="false" ht="18.75" hidden="false" customHeight="false" outlineLevel="0" collapsed="false">
      <c r="A14" s="647" t="s">
        <v>34</v>
      </c>
      <c r="B14" s="360" t="n">
        <v>650</v>
      </c>
      <c r="C14" s="360" t="s">
        <v>136</v>
      </c>
      <c r="D14" s="360" t="n">
        <v>300</v>
      </c>
      <c r="E14" s="360" t="s">
        <v>136</v>
      </c>
      <c r="F14" s="360" t="n">
        <v>120</v>
      </c>
      <c r="G14" s="762" t="s">
        <v>167</v>
      </c>
      <c r="H14" s="763"/>
      <c r="I14" s="763"/>
    </row>
    <row r="15" customFormat="false" ht="12.75" hidden="false" customHeight="true" outlineLevel="0" collapsed="false">
      <c r="A15" s="653"/>
      <c r="B15" s="370" t="n">
        <f aca="false">(F14*2)+B14+50</f>
        <v>940</v>
      </c>
      <c r="C15" s="371" t="s">
        <v>136</v>
      </c>
      <c r="D15" s="370" t="n">
        <f aca="false">(F14*2)+D14+50</f>
        <v>590</v>
      </c>
      <c r="E15" s="764"/>
      <c r="F15" s="389" t="n">
        <f aca="false">B15*D15*H16*8/1000000</f>
        <v>3.54944</v>
      </c>
      <c r="G15" s="757" t="n">
        <v>2</v>
      </c>
      <c r="H15" s="368" t="s">
        <v>82</v>
      </c>
      <c r="I15" s="744" t="s">
        <v>158</v>
      </c>
    </row>
    <row r="16" customFormat="false" ht="13.5" hidden="false" customHeight="false" outlineLevel="0" collapsed="false">
      <c r="A16" s="765" t="n">
        <f aca="false">F15*I16</f>
        <v>124.2304</v>
      </c>
      <c r="B16" s="766" t="s">
        <v>255</v>
      </c>
      <c r="C16" s="371"/>
      <c r="D16" s="767" t="n">
        <v>60</v>
      </c>
      <c r="E16" s="768"/>
      <c r="F16" s="769" t="n">
        <f aca="false">SUM(D16*8)</f>
        <v>480</v>
      </c>
      <c r="G16" s="757"/>
      <c r="H16" s="729" t="n">
        <v>0.8</v>
      </c>
      <c r="I16" s="748" t="n">
        <v>35</v>
      </c>
    </row>
    <row r="17" customFormat="false" ht="26.25" hidden="false" customHeight="false" outlineLevel="0" collapsed="false">
      <c r="A17" s="770" t="n">
        <f aca="false">(A16*3)+D16</f>
        <v>432.6912</v>
      </c>
      <c r="B17" s="770"/>
      <c r="C17" s="771" t="s">
        <v>131</v>
      </c>
      <c r="D17" s="770" t="n">
        <f aca="false">SUM(A17*G15)</f>
        <v>865.3824</v>
      </c>
      <c r="E17" s="770"/>
      <c r="F17" s="770"/>
      <c r="H17" s="772" t="n">
        <v>0</v>
      </c>
      <c r="I17" s="773" t="n">
        <v>0</v>
      </c>
    </row>
    <row r="18" customFormat="false" ht="13.5" hidden="false" customHeight="false" outlineLevel="0" collapsed="false">
      <c r="A18" s="685"/>
      <c r="B18" s="687"/>
      <c r="C18" s="687"/>
      <c r="D18" s="687"/>
      <c r="E18" s="687"/>
      <c r="F18" s="687"/>
      <c r="G18" s="689"/>
      <c r="H18" s="689"/>
    </row>
    <row r="19" customFormat="false" ht="12.75" hidden="false" customHeight="true" outlineLevel="0" collapsed="false">
      <c r="A19" s="774" t="s">
        <v>256</v>
      </c>
      <c r="B19" s="774"/>
      <c r="C19" s="775" t="n">
        <f aca="false">D17+D11+B6+100</f>
        <v>3690.3312</v>
      </c>
      <c r="D19" s="775"/>
      <c r="E19" s="775"/>
      <c r="F19" s="774" t="n">
        <v>888</v>
      </c>
      <c r="G19" s="774"/>
      <c r="H19" s="776" t="n">
        <f aca="false">D17+D11+G6+100</f>
        <v>3840.8592</v>
      </c>
      <c r="I19" s="776"/>
    </row>
    <row r="20" customFormat="false" ht="13.5" hidden="false" customHeight="true" outlineLevel="0" collapsed="false">
      <c r="A20" s="774"/>
      <c r="B20" s="774"/>
      <c r="C20" s="775"/>
      <c r="D20" s="775"/>
      <c r="E20" s="775"/>
      <c r="F20" s="774"/>
      <c r="G20" s="774"/>
      <c r="H20" s="776"/>
      <c r="I20" s="776"/>
    </row>
  </sheetData>
  <mergeCells count="19">
    <mergeCell ref="A1:I1"/>
    <mergeCell ref="K2:N6"/>
    <mergeCell ref="H3:I3"/>
    <mergeCell ref="B6:D6"/>
    <mergeCell ref="G6:I6"/>
    <mergeCell ref="A7:I7"/>
    <mergeCell ref="F9:F10"/>
    <mergeCell ref="A11:B11"/>
    <mergeCell ref="D11:F11"/>
    <mergeCell ref="G11:I11"/>
    <mergeCell ref="A12:I12"/>
    <mergeCell ref="H14:I14"/>
    <mergeCell ref="G15:G16"/>
    <mergeCell ref="A17:B17"/>
    <mergeCell ref="D17:F17"/>
    <mergeCell ref="A19:B20"/>
    <mergeCell ref="C19:E20"/>
    <mergeCell ref="F19:G20"/>
    <mergeCell ref="H19:I20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CCCC"/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28125" defaultRowHeight="12.75" customHeight="false" zeroHeight="false" outlineLevelRow="0" outlineLevelCol="0"/>
  <cols>
    <col collapsed="false" customWidth="false" hidden="false" outlineLevel="0" max="1" min="1" style="164" width="9.28"/>
    <col collapsed="false" customWidth="true" hidden="false" outlineLevel="0" max="2" min="2" style="164" width="10.41"/>
    <col collapsed="false" customWidth="false" hidden="false" outlineLevel="0" max="4" min="3" style="164" width="9.28"/>
    <col collapsed="false" customWidth="true" hidden="false" outlineLevel="0" max="5" min="5" style="164" width="4.7"/>
    <col collapsed="false" customWidth="true" hidden="false" outlineLevel="0" max="7" min="6" style="164" width="3.28"/>
    <col collapsed="false" customWidth="true" hidden="false" outlineLevel="0" max="8" min="8" style="164" width="9.7"/>
    <col collapsed="false" customWidth="true" hidden="false" outlineLevel="0" max="9" min="9" style="164" width="10.28"/>
    <col collapsed="false" customWidth="true" hidden="false" outlineLevel="0" max="10" min="10" style="164" width="4.28"/>
    <col collapsed="false" customWidth="true" hidden="false" outlineLevel="0" max="11" min="11" style="164" width="3.7"/>
    <col collapsed="false" customWidth="true" hidden="false" outlineLevel="0" max="12" min="12" style="164" width="2.56"/>
    <col collapsed="false" customWidth="false" hidden="false" outlineLevel="0" max="257" min="13" style="164" width="9.28"/>
  </cols>
  <sheetData>
    <row r="1" customFormat="false" ht="27" hidden="false" customHeight="false" outlineLevel="0" collapsed="false">
      <c r="A1" s="777" t="s">
        <v>257</v>
      </c>
      <c r="B1" s="777"/>
      <c r="C1" s="777"/>
      <c r="D1" s="777"/>
      <c r="E1" s="777"/>
      <c r="F1" s="777"/>
      <c r="G1" s="777"/>
      <c r="H1" s="777"/>
      <c r="I1" s="777"/>
      <c r="J1" s="778" t="s">
        <v>258</v>
      </c>
      <c r="K1" s="778"/>
      <c r="L1" s="778"/>
      <c r="M1" s="778"/>
      <c r="N1" s="778"/>
    </row>
    <row r="2" customFormat="false" ht="27.75" hidden="false" customHeight="false" outlineLevel="0" collapsed="false">
      <c r="A2" s="779"/>
      <c r="B2" s="780" t="s">
        <v>80</v>
      </c>
      <c r="C2" s="780"/>
      <c r="D2" s="780" t="s">
        <v>259</v>
      </c>
      <c r="E2" s="780"/>
      <c r="F2" s="780"/>
      <c r="G2" s="781"/>
      <c r="H2" s="782"/>
      <c r="I2" s="783"/>
      <c r="J2" s="784" t="s">
        <v>260</v>
      </c>
      <c r="K2" s="784"/>
      <c r="L2" s="784"/>
      <c r="M2" s="784"/>
      <c r="N2" s="784"/>
    </row>
    <row r="3" customFormat="false" ht="18" hidden="false" customHeight="true" outlineLevel="0" collapsed="false">
      <c r="A3" s="785" t="s">
        <v>34</v>
      </c>
      <c r="B3" s="102" t="n">
        <v>610</v>
      </c>
      <c r="C3" s="102" t="s">
        <v>136</v>
      </c>
      <c r="D3" s="786" t="n">
        <v>410</v>
      </c>
      <c r="E3" s="787"/>
      <c r="F3" s="787"/>
      <c r="G3" s="788"/>
      <c r="H3" s="789"/>
      <c r="I3" s="789"/>
      <c r="J3" s="790"/>
      <c r="K3" s="791"/>
      <c r="L3" s="791"/>
      <c r="M3" s="792" t="n">
        <v>63</v>
      </c>
      <c r="N3" s="793"/>
    </row>
    <row r="4" customFormat="false" ht="12.75" hidden="false" customHeight="true" outlineLevel="0" collapsed="false">
      <c r="A4" s="794"/>
      <c r="B4" s="795" t="n">
        <f aca="false">B3+10</f>
        <v>620</v>
      </c>
      <c r="C4" s="796" t="s">
        <v>136</v>
      </c>
      <c r="D4" s="795" t="n">
        <f aca="false">D3+10</f>
        <v>420</v>
      </c>
      <c r="E4" s="797"/>
      <c r="F4" s="788"/>
      <c r="G4" s="798"/>
      <c r="H4" s="799" t="s">
        <v>82</v>
      </c>
      <c r="I4" s="799" t="s">
        <v>36</v>
      </c>
      <c r="J4" s="800"/>
      <c r="K4" s="788"/>
      <c r="L4" s="788"/>
      <c r="M4" s="792"/>
      <c r="N4" s="801"/>
    </row>
    <row r="5" customFormat="false" ht="12.75" hidden="false" customHeight="true" outlineLevel="0" collapsed="false">
      <c r="A5" s="802" t="s">
        <v>108</v>
      </c>
      <c r="B5" s="803" t="n">
        <f aca="false">B4*D4*H5*8/1000000</f>
        <v>2.49984</v>
      </c>
      <c r="C5" s="803"/>
      <c r="D5" s="803"/>
      <c r="E5" s="804"/>
      <c r="F5" s="804"/>
      <c r="G5" s="805"/>
      <c r="H5" s="806" t="n">
        <v>1.2</v>
      </c>
      <c r="I5" s="807" t="n">
        <v>37</v>
      </c>
      <c r="J5" s="800"/>
      <c r="K5" s="788"/>
      <c r="L5" s="788"/>
      <c r="M5" s="788"/>
      <c r="N5" s="801"/>
    </row>
    <row r="6" customFormat="false" ht="12.75" hidden="false" customHeight="true" outlineLevel="0" collapsed="false">
      <c r="A6" s="794"/>
      <c r="B6" s="808"/>
      <c r="C6" s="808"/>
      <c r="D6" s="808"/>
      <c r="E6" s="809"/>
      <c r="F6" s="809"/>
      <c r="G6" s="788"/>
      <c r="H6" s="810"/>
      <c r="I6" s="811"/>
      <c r="J6" s="794"/>
      <c r="K6" s="812" t="n">
        <v>38</v>
      </c>
      <c r="L6" s="813"/>
      <c r="M6" s="788"/>
      <c r="N6" s="801"/>
    </row>
    <row r="7" customFormat="false" ht="23.25" hidden="false" customHeight="false" outlineLevel="0" collapsed="false">
      <c r="A7" s="814"/>
      <c r="B7" s="815" t="n">
        <f aca="false">B5*I5*I7</f>
        <v>277.48224</v>
      </c>
      <c r="C7" s="815"/>
      <c r="D7" s="815"/>
      <c r="E7" s="800"/>
      <c r="F7" s="808"/>
      <c r="G7" s="808"/>
      <c r="H7" s="816" t="s">
        <v>84</v>
      </c>
      <c r="I7" s="817" t="n">
        <v>3</v>
      </c>
      <c r="J7" s="794"/>
      <c r="K7" s="812"/>
      <c r="L7" s="813"/>
      <c r="M7" s="788"/>
      <c r="N7" s="801"/>
    </row>
    <row r="8" customFormat="false" ht="13.5" hidden="false" customHeight="true" outlineLevel="0" collapsed="false">
      <c r="A8" s="818"/>
      <c r="B8" s="819"/>
      <c r="C8" s="819"/>
      <c r="D8" s="819"/>
      <c r="E8" s="820"/>
      <c r="F8" s="820"/>
      <c r="G8" s="820"/>
      <c r="H8" s="820"/>
      <c r="I8" s="821"/>
      <c r="J8" s="794"/>
      <c r="K8" s="812"/>
      <c r="L8" s="812"/>
      <c r="M8" s="788"/>
      <c r="N8" s="801"/>
    </row>
    <row r="9" customFormat="false" ht="12.75" hidden="false" customHeight="true" outlineLevel="0" collapsed="false">
      <c r="J9" s="794"/>
      <c r="K9" s="812"/>
      <c r="L9" s="822"/>
      <c r="M9" s="788"/>
      <c r="N9" s="801"/>
    </row>
    <row r="10" customFormat="false" ht="12.75" hidden="false" customHeight="true" outlineLevel="0" collapsed="false">
      <c r="A10" s="823" t="s">
        <v>261</v>
      </c>
      <c r="B10" s="823"/>
      <c r="C10" s="823"/>
      <c r="D10" s="823"/>
      <c r="J10" s="794"/>
      <c r="K10" s="812"/>
      <c r="L10" s="813"/>
      <c r="M10" s="788"/>
      <c r="N10" s="801"/>
    </row>
    <row r="11" customFormat="false" ht="12.75" hidden="false" customHeight="true" outlineLevel="0" collapsed="false">
      <c r="A11" s="823"/>
      <c r="B11" s="823"/>
      <c r="C11" s="823"/>
      <c r="D11" s="823"/>
      <c r="J11" s="794"/>
      <c r="K11" s="812"/>
      <c r="L11" s="813"/>
      <c r="M11" s="788"/>
      <c r="N11" s="801"/>
    </row>
    <row r="12" customFormat="false" ht="12.75" hidden="false" customHeight="true" outlineLevel="0" collapsed="false">
      <c r="A12" s="823"/>
      <c r="B12" s="823"/>
      <c r="C12" s="823"/>
      <c r="D12" s="823"/>
      <c r="J12" s="794"/>
      <c r="K12" s="812"/>
      <c r="L12" s="812"/>
      <c r="M12" s="788"/>
      <c r="N12" s="801"/>
    </row>
    <row r="13" customFormat="false" ht="12.75" hidden="false" customHeight="true" outlineLevel="0" collapsed="false">
      <c r="A13" s="823"/>
      <c r="B13" s="823"/>
      <c r="C13" s="823"/>
      <c r="D13" s="823"/>
      <c r="J13" s="824" t="s">
        <v>262</v>
      </c>
      <c r="K13" s="824"/>
      <c r="L13" s="824"/>
      <c r="M13" s="824"/>
      <c r="N13" s="824"/>
    </row>
    <row r="14" customFormat="false" ht="12.75" hidden="false" customHeight="true" outlineLevel="0" collapsed="false">
      <c r="A14" s="823"/>
      <c r="B14" s="823"/>
      <c r="C14" s="823"/>
      <c r="D14" s="823"/>
      <c r="J14" s="824" t="s">
        <v>263</v>
      </c>
      <c r="K14" s="824"/>
      <c r="L14" s="824"/>
      <c r="M14" s="824"/>
      <c r="N14" s="824"/>
    </row>
    <row r="15" customFormat="false" ht="12.75" hidden="false" customHeight="true" outlineLevel="0" collapsed="false">
      <c r="J15" s="794"/>
      <c r="K15" s="825" t="s">
        <v>264</v>
      </c>
      <c r="L15" s="825"/>
      <c r="M15" s="825"/>
      <c r="N15" s="825"/>
    </row>
    <row r="16" customFormat="false" ht="12.75" hidden="false" customHeight="true" outlineLevel="0" collapsed="false">
      <c r="J16" s="794"/>
      <c r="K16" s="825"/>
      <c r="L16" s="825"/>
      <c r="M16" s="825"/>
      <c r="N16" s="825"/>
    </row>
    <row r="17" customFormat="false" ht="13.5" hidden="false" customHeight="true" outlineLevel="0" collapsed="false">
      <c r="H17" s="826"/>
      <c r="J17" s="818"/>
      <c r="K17" s="825"/>
      <c r="L17" s="825"/>
      <c r="M17" s="825"/>
      <c r="N17" s="825"/>
    </row>
  </sheetData>
  <mergeCells count="13">
    <mergeCell ref="A1:I1"/>
    <mergeCell ref="J1:N1"/>
    <mergeCell ref="J2:N2"/>
    <mergeCell ref="H3:I3"/>
    <mergeCell ref="M3:M4"/>
    <mergeCell ref="B5:D5"/>
    <mergeCell ref="E6:F6"/>
    <mergeCell ref="K6:K12"/>
    <mergeCell ref="B7:D7"/>
    <mergeCell ref="A10:D14"/>
    <mergeCell ref="J13:N13"/>
    <mergeCell ref="J14:N14"/>
    <mergeCell ref="K15:N17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3366"/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I14" activeCellId="0" sqref="I14"/>
    </sheetView>
  </sheetViews>
  <sheetFormatPr defaultColWidth="9.28125" defaultRowHeight="12.75" customHeight="false" zeroHeight="false" outlineLevelRow="0" outlineLevelCol="0"/>
  <cols>
    <col collapsed="false" customWidth="true" hidden="false" outlineLevel="0" max="1" min="1" style="164" width="9.99"/>
    <col collapsed="false" customWidth="true" hidden="false" outlineLevel="0" max="2" min="2" style="164" width="13.7"/>
    <col collapsed="false" customWidth="true" hidden="false" outlineLevel="0" max="3" min="3" style="164" width="6.28"/>
    <col collapsed="false" customWidth="true" hidden="false" outlineLevel="0" max="4" min="4" style="164" width="11.28"/>
    <col collapsed="false" customWidth="true" hidden="false" outlineLevel="0" max="5" min="5" style="164" width="8.56"/>
    <col collapsed="false" customWidth="true" hidden="false" outlineLevel="0" max="6" min="6" style="164" width="10.41"/>
    <col collapsed="false" customWidth="true" hidden="false" outlineLevel="0" max="7" min="7" style="164" width="8.28"/>
    <col collapsed="false" customWidth="true" hidden="false" outlineLevel="0" max="8" min="8" style="164" width="9.7"/>
    <col collapsed="false" customWidth="true" hidden="false" outlineLevel="0" max="9" min="9" style="164" width="11.7"/>
    <col collapsed="false" customWidth="false" hidden="false" outlineLevel="0" max="257" min="10" style="164" width="9.28"/>
  </cols>
  <sheetData>
    <row r="1" customFormat="false" ht="25.15" hidden="false" customHeight="true" outlineLevel="0" collapsed="false">
      <c r="A1" s="777" t="s">
        <v>265</v>
      </c>
      <c r="B1" s="777"/>
      <c r="C1" s="777"/>
      <c r="D1" s="777"/>
      <c r="E1" s="777"/>
      <c r="F1" s="777"/>
      <c r="G1" s="777"/>
      <c r="H1" s="777"/>
      <c r="I1" s="777"/>
      <c r="J1" s="827" t="s">
        <v>258</v>
      </c>
      <c r="K1" s="827"/>
      <c r="L1" s="827"/>
      <c r="M1" s="827"/>
      <c r="N1" s="827"/>
    </row>
    <row r="2" customFormat="false" ht="20.1" hidden="false" customHeight="true" outlineLevel="0" collapsed="false">
      <c r="A2" s="779"/>
      <c r="B2" s="780" t="s">
        <v>29</v>
      </c>
      <c r="C2" s="780"/>
      <c r="D2" s="780" t="s">
        <v>100</v>
      </c>
      <c r="E2" s="780"/>
      <c r="F2" s="780" t="s">
        <v>259</v>
      </c>
      <c r="G2" s="781"/>
      <c r="H2" s="782"/>
      <c r="I2" s="783"/>
      <c r="J2" s="828" t="s">
        <v>260</v>
      </c>
      <c r="K2" s="828"/>
      <c r="L2" s="828"/>
      <c r="M2" s="828"/>
      <c r="N2" s="828"/>
    </row>
    <row r="3" customFormat="false" ht="20.1" hidden="false" customHeight="true" outlineLevel="0" collapsed="false">
      <c r="A3" s="785" t="s">
        <v>34</v>
      </c>
      <c r="B3" s="102" t="n">
        <v>1000</v>
      </c>
      <c r="C3" s="102" t="s">
        <v>136</v>
      </c>
      <c r="D3" s="102" t="n">
        <v>900</v>
      </c>
      <c r="E3" s="102" t="s">
        <v>136</v>
      </c>
      <c r="F3" s="786" t="n">
        <f aca="false">K6+L3+N6+L19+K19+K14</f>
        <v>370</v>
      </c>
      <c r="G3" s="788"/>
      <c r="H3" s="829"/>
      <c r="I3" s="829"/>
      <c r="J3" s="790"/>
      <c r="K3" s="830"/>
      <c r="L3" s="831" t="n">
        <v>50</v>
      </c>
      <c r="M3" s="830"/>
      <c r="N3" s="793"/>
    </row>
    <row r="4" customFormat="false" ht="15.75" hidden="false" customHeight="true" outlineLevel="0" collapsed="false">
      <c r="A4" s="794"/>
      <c r="B4" s="795" t="n">
        <f aca="false">B3*2+200</f>
        <v>2200</v>
      </c>
      <c r="C4" s="796" t="s">
        <v>136</v>
      </c>
      <c r="D4" s="795" t="n">
        <f aca="false">D3+100</f>
        <v>1000</v>
      </c>
      <c r="E4" s="832" t="n">
        <f aca="false">SUM(B4:D4)</f>
        <v>3200</v>
      </c>
      <c r="F4" s="833" t="n">
        <f aca="false">SUM(E4*F3)/1000*H5*8</f>
        <v>14208</v>
      </c>
      <c r="G4" s="805" t="n">
        <f aca="false">SUM(F4*I5)/1000</f>
        <v>525.696</v>
      </c>
      <c r="H4" s="799" t="s">
        <v>82</v>
      </c>
      <c r="I4" s="834" t="s">
        <v>36</v>
      </c>
      <c r="J4" s="794"/>
      <c r="K4" s="788"/>
      <c r="L4" s="831"/>
      <c r="M4" s="788"/>
      <c r="N4" s="817"/>
    </row>
    <row r="5" customFormat="false" ht="15.75" hidden="false" customHeight="true" outlineLevel="0" collapsed="false">
      <c r="A5" s="794"/>
      <c r="B5" s="795"/>
      <c r="C5" s="796"/>
      <c r="D5" s="795"/>
      <c r="E5" s="833"/>
      <c r="F5" s="804"/>
      <c r="G5" s="835"/>
      <c r="H5" s="806" t="n">
        <v>1.5</v>
      </c>
      <c r="I5" s="836" t="n">
        <v>37</v>
      </c>
      <c r="J5" s="794"/>
      <c r="K5" s="788"/>
      <c r="L5" s="788"/>
      <c r="M5" s="798"/>
      <c r="N5" s="801"/>
    </row>
    <row r="6" customFormat="false" ht="4.5" hidden="false" customHeight="true" outlineLevel="0" collapsed="false">
      <c r="A6" s="794"/>
      <c r="B6" s="808"/>
      <c r="C6" s="808"/>
      <c r="D6" s="808"/>
      <c r="E6" s="798"/>
      <c r="F6" s="837"/>
      <c r="G6" s="810"/>
      <c r="H6" s="837"/>
      <c r="I6" s="838"/>
      <c r="J6" s="794"/>
      <c r="K6" s="839" t="n">
        <v>10</v>
      </c>
      <c r="L6" s="788"/>
      <c r="M6" s="788"/>
      <c r="N6" s="840" t="n">
        <v>250</v>
      </c>
    </row>
    <row r="7" customFormat="false" ht="25.15" hidden="false" customHeight="true" outlineLevel="0" collapsed="false">
      <c r="A7" s="814"/>
      <c r="B7" s="815" t="n">
        <f aca="false">SUM(G4:G5)*3</f>
        <v>1577.088</v>
      </c>
      <c r="C7" s="815"/>
      <c r="D7" s="815"/>
      <c r="E7" s="800"/>
      <c r="F7" s="808"/>
      <c r="G7" s="808"/>
      <c r="H7" s="808"/>
      <c r="I7" s="841"/>
      <c r="J7" s="794"/>
      <c r="K7" s="839"/>
      <c r="L7" s="788"/>
      <c r="M7" s="788"/>
      <c r="N7" s="840"/>
      <c r="S7" s="164" t="s">
        <v>266</v>
      </c>
    </row>
    <row r="8" customFormat="false" ht="15.75" hidden="false" customHeight="true" outlineLevel="0" collapsed="false">
      <c r="A8" s="818"/>
      <c r="B8" s="819"/>
      <c r="C8" s="819"/>
      <c r="D8" s="819"/>
      <c r="E8" s="820"/>
      <c r="F8" s="820"/>
      <c r="G8" s="820"/>
      <c r="H8" s="820"/>
      <c r="I8" s="842"/>
      <c r="J8" s="794"/>
      <c r="K8" s="839"/>
      <c r="L8" s="788"/>
      <c r="M8" s="788"/>
      <c r="N8" s="840"/>
    </row>
    <row r="9" customFormat="false" ht="27" hidden="false" customHeight="false" outlineLevel="0" collapsed="false">
      <c r="A9" s="843" t="s">
        <v>267</v>
      </c>
      <c r="B9" s="843"/>
      <c r="C9" s="843"/>
      <c r="D9" s="843"/>
      <c r="E9" s="843"/>
      <c r="F9" s="843"/>
      <c r="G9" s="843"/>
      <c r="H9" s="843"/>
      <c r="I9" s="843"/>
      <c r="J9" s="794"/>
      <c r="K9" s="788"/>
      <c r="L9" s="788"/>
      <c r="M9" s="788"/>
      <c r="N9" s="840"/>
    </row>
    <row r="10" customFormat="false" ht="15" hidden="false" customHeight="true" outlineLevel="0" collapsed="false">
      <c r="A10" s="779"/>
      <c r="B10" s="780" t="s">
        <v>29</v>
      </c>
      <c r="C10" s="780"/>
      <c r="D10" s="780" t="s">
        <v>100</v>
      </c>
      <c r="E10" s="780"/>
      <c r="F10" s="780"/>
      <c r="G10" s="781"/>
      <c r="H10" s="782"/>
      <c r="I10" s="844"/>
      <c r="J10" s="794"/>
      <c r="K10" s="788"/>
      <c r="L10" s="788"/>
      <c r="M10" s="788"/>
      <c r="N10" s="840"/>
    </row>
    <row r="11" customFormat="false" ht="18" hidden="false" customHeight="false" outlineLevel="0" collapsed="false">
      <c r="A11" s="785" t="s">
        <v>34</v>
      </c>
      <c r="B11" s="102" t="n">
        <v>500</v>
      </c>
      <c r="C11" s="102" t="s">
        <v>136</v>
      </c>
      <c r="D11" s="102" t="n">
        <v>500</v>
      </c>
      <c r="E11" s="787"/>
      <c r="F11" s="787"/>
      <c r="G11" s="788"/>
      <c r="H11" s="829"/>
      <c r="I11" s="829"/>
      <c r="J11" s="794"/>
      <c r="K11" s="788"/>
      <c r="L11" s="788"/>
      <c r="M11" s="788"/>
      <c r="N11" s="840"/>
    </row>
    <row r="12" customFormat="false" ht="12.75" hidden="false" customHeight="true" outlineLevel="0" collapsed="false">
      <c r="A12" s="794"/>
      <c r="B12" s="795" t="n">
        <f aca="false">B11*2+100</f>
        <v>1100</v>
      </c>
      <c r="C12" s="796" t="s">
        <v>136</v>
      </c>
      <c r="D12" s="795" t="n">
        <f aca="false">D11+100</f>
        <v>600</v>
      </c>
      <c r="E12" s="832" t="n">
        <f aca="false">SUM(B12*D12)/1000</f>
        <v>660</v>
      </c>
      <c r="F12" s="833" t="n">
        <f aca="false">SUM(E12)*H13*8</f>
        <v>5280</v>
      </c>
      <c r="G12" s="805" t="n">
        <f aca="false">SUM(F12*I13)/1000</f>
        <v>327.36</v>
      </c>
      <c r="H12" s="799" t="s">
        <v>82</v>
      </c>
      <c r="I12" s="834" t="s">
        <v>36</v>
      </c>
      <c r="J12" s="794"/>
      <c r="K12" s="788"/>
      <c r="L12" s="788"/>
      <c r="M12" s="788"/>
      <c r="N12" s="840"/>
    </row>
    <row r="13" customFormat="false" ht="12.75" hidden="false" customHeight="true" outlineLevel="0" collapsed="false">
      <c r="A13" s="845" t="s">
        <v>268</v>
      </c>
      <c r="B13" s="845"/>
      <c r="C13" s="845"/>
      <c r="D13" s="845"/>
      <c r="E13" s="833"/>
      <c r="F13" s="804"/>
      <c r="G13" s="835"/>
      <c r="H13" s="806" t="n">
        <v>1</v>
      </c>
      <c r="I13" s="836" t="n">
        <v>62</v>
      </c>
      <c r="J13" s="794"/>
      <c r="K13" s="788"/>
      <c r="L13" s="788"/>
      <c r="M13" s="846" t="n">
        <v>40</v>
      </c>
      <c r="N13" s="840"/>
    </row>
    <row r="14" customFormat="false" ht="12.75" hidden="false" customHeight="true" outlineLevel="0" collapsed="false">
      <c r="A14" s="794"/>
      <c r="B14" s="808"/>
      <c r="C14" s="808"/>
      <c r="D14" s="808"/>
      <c r="E14" s="798"/>
      <c r="F14" s="837"/>
      <c r="G14" s="810"/>
      <c r="H14" s="837"/>
      <c r="I14" s="838"/>
      <c r="J14" s="794"/>
      <c r="K14" s="847" t="n">
        <v>10</v>
      </c>
      <c r="L14" s="788"/>
      <c r="M14" s="846"/>
      <c r="N14" s="840"/>
    </row>
    <row r="15" customFormat="false" ht="23.25" hidden="false" customHeight="false" outlineLevel="0" collapsed="false">
      <c r="A15" s="814"/>
      <c r="B15" s="815" t="n">
        <f aca="false">SUM(G12:G13)*3+I15</f>
        <v>1002.08</v>
      </c>
      <c r="C15" s="815"/>
      <c r="D15" s="815"/>
      <c r="E15" s="800"/>
      <c r="F15" s="848" t="s">
        <v>269</v>
      </c>
      <c r="G15" s="848"/>
      <c r="H15" s="848"/>
      <c r="I15" s="849" t="n">
        <f aca="false">(B11*D11)/1000000*80</f>
        <v>20</v>
      </c>
      <c r="J15" s="794"/>
      <c r="K15" s="847"/>
      <c r="L15" s="788"/>
      <c r="M15" s="846"/>
      <c r="N15" s="840"/>
    </row>
    <row r="16" customFormat="false" ht="13.5" hidden="false" customHeight="false" outlineLevel="0" collapsed="false">
      <c r="A16" s="818"/>
      <c r="B16" s="819"/>
      <c r="C16" s="819"/>
      <c r="D16" s="819"/>
      <c r="E16" s="820"/>
      <c r="F16" s="820"/>
      <c r="G16" s="820"/>
      <c r="H16" s="820"/>
      <c r="I16" s="842"/>
      <c r="J16" s="794"/>
      <c r="K16" s="788"/>
      <c r="L16" s="788"/>
      <c r="M16" s="846"/>
      <c r="N16" s="840"/>
    </row>
    <row r="17" customFormat="false" ht="12.75" hidden="false" customHeight="true" outlineLevel="0" collapsed="false">
      <c r="A17" s="850" t="s">
        <v>270</v>
      </c>
      <c r="B17" s="850"/>
      <c r="C17" s="850"/>
      <c r="D17" s="850"/>
      <c r="E17" s="850"/>
      <c r="F17" s="850"/>
      <c r="G17" s="850"/>
      <c r="H17" s="850"/>
      <c r="I17" s="850"/>
      <c r="J17" s="794"/>
      <c r="K17" s="788"/>
      <c r="L17" s="788"/>
      <c r="M17" s="788"/>
      <c r="N17" s="801"/>
    </row>
    <row r="18" customFormat="false" ht="12.75" hidden="false" customHeight="true" outlineLevel="0" collapsed="false">
      <c r="A18" s="850"/>
      <c r="B18" s="850"/>
      <c r="C18" s="850"/>
      <c r="D18" s="850"/>
      <c r="E18" s="850"/>
      <c r="F18" s="850"/>
      <c r="G18" s="850"/>
      <c r="H18" s="850"/>
      <c r="I18" s="850"/>
      <c r="J18" s="794"/>
      <c r="K18" s="788"/>
      <c r="L18" s="788"/>
      <c r="M18" s="788"/>
      <c r="N18" s="801"/>
    </row>
    <row r="19" customFormat="false" ht="12.75" hidden="false" customHeight="true" outlineLevel="0" collapsed="false">
      <c r="A19" s="850"/>
      <c r="B19" s="850"/>
      <c r="C19" s="850"/>
      <c r="D19" s="850"/>
      <c r="E19" s="850"/>
      <c r="F19" s="850"/>
      <c r="G19" s="850"/>
      <c r="H19" s="850"/>
      <c r="I19" s="850"/>
      <c r="J19" s="794"/>
      <c r="K19" s="851" t="n">
        <v>35</v>
      </c>
      <c r="L19" s="851" t="n">
        <v>15</v>
      </c>
      <c r="M19" s="788"/>
      <c r="N19" s="801"/>
    </row>
    <row r="20" customFormat="false" ht="13.5" hidden="false" customHeight="true" outlineLevel="0" collapsed="false">
      <c r="A20" s="852" t="s">
        <v>271</v>
      </c>
      <c r="B20" s="852"/>
      <c r="C20" s="852"/>
      <c r="D20" s="852"/>
      <c r="F20" s="852" t="s">
        <v>272</v>
      </c>
      <c r="G20" s="852"/>
      <c r="H20" s="852"/>
      <c r="I20" s="852"/>
      <c r="J20" s="794"/>
      <c r="K20" s="853" t="s">
        <v>264</v>
      </c>
      <c r="L20" s="853"/>
      <c r="M20" s="853"/>
      <c r="N20" s="801"/>
    </row>
    <row r="21" customFormat="false" ht="12.75" hidden="false" customHeight="true" outlineLevel="0" collapsed="false">
      <c r="A21" s="852"/>
      <c r="B21" s="852"/>
      <c r="C21" s="852"/>
      <c r="D21" s="852"/>
      <c r="F21" s="852"/>
      <c r="G21" s="852"/>
      <c r="H21" s="852"/>
      <c r="I21" s="852"/>
      <c r="J21" s="794"/>
      <c r="K21" s="853"/>
      <c r="L21" s="853"/>
      <c r="M21" s="853"/>
      <c r="N21" s="801"/>
    </row>
    <row r="22" customFormat="false" ht="13.5" hidden="false" customHeight="true" outlineLevel="0" collapsed="false">
      <c r="A22" s="852"/>
      <c r="B22" s="852"/>
      <c r="C22" s="852"/>
      <c r="D22" s="852"/>
      <c r="F22" s="852"/>
      <c r="G22" s="852"/>
      <c r="H22" s="852"/>
      <c r="I22" s="852"/>
      <c r="J22" s="818"/>
      <c r="K22" s="853"/>
      <c r="L22" s="853"/>
      <c r="M22" s="853"/>
      <c r="N22" s="821"/>
    </row>
    <row r="23" customFormat="false" ht="12.75" hidden="false" customHeight="true" outlineLevel="0" collapsed="false">
      <c r="A23" s="852"/>
      <c r="B23" s="852"/>
      <c r="C23" s="852"/>
      <c r="D23" s="852"/>
      <c r="F23" s="852"/>
      <c r="G23" s="852"/>
      <c r="H23" s="852"/>
      <c r="I23" s="852"/>
    </row>
    <row r="24" customFormat="false" ht="12.75" hidden="false" customHeight="true" outlineLevel="0" collapsed="false">
      <c r="A24" s="852"/>
      <c r="B24" s="852"/>
      <c r="C24" s="852"/>
      <c r="D24" s="852"/>
      <c r="F24" s="852"/>
      <c r="G24" s="852"/>
      <c r="H24" s="852"/>
      <c r="I24" s="852"/>
    </row>
  </sheetData>
  <sheetProtection sheet="true"/>
  <mergeCells count="19">
    <mergeCell ref="A1:I1"/>
    <mergeCell ref="J1:N1"/>
    <mergeCell ref="J2:N2"/>
    <mergeCell ref="H3:I3"/>
    <mergeCell ref="L3:L4"/>
    <mergeCell ref="K6:K8"/>
    <mergeCell ref="N6:N16"/>
    <mergeCell ref="B7:D7"/>
    <mergeCell ref="A9:I9"/>
    <mergeCell ref="H11:I11"/>
    <mergeCell ref="A13:D13"/>
    <mergeCell ref="M13:M16"/>
    <mergeCell ref="K14:K15"/>
    <mergeCell ref="B15:D15"/>
    <mergeCell ref="F15:H15"/>
    <mergeCell ref="A17:I19"/>
    <mergeCell ref="A20:D24"/>
    <mergeCell ref="F20:I24"/>
    <mergeCell ref="K20:M22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2009-10-05T12:27:37Z</dcterms:created>
  <dc:creator>PROJENOX</dc:creator>
  <dc:description/>
  <dc:language>pt-BR</dc:language>
  <cp:lastModifiedBy>Inoxval Comercial</cp:lastModifiedBy>
  <cp:lastPrinted>2014-08-06T16:28:16Z</cp:lastPrinted>
  <dcterms:modified xsi:type="dcterms:W3CDTF">2026-01-09T16:11:19Z</dcterms:modified>
  <cp:revision>0</cp:revision>
  <dc:subject/>
  <dc:title/>
</cp:coreProperties>
</file>